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Quarterly Status reports\Q2 2026\"/>
    </mc:Choice>
  </mc:AlternateContent>
  <xr:revisionPtr revIDLastSave="0" documentId="13_ncr:1_{54789BFC-2506-4F21-BED0-3A9C1970C02F}" xr6:coauthVersionLast="47" xr6:coauthVersionMax="47" xr10:uidLastSave="{00000000-0000-0000-0000-000000000000}"/>
  <bookViews>
    <workbookView xWindow="28695" yWindow="0" windowWidth="29010" windowHeight="23385" xr2:uid="{00000000-000D-0000-FFFF-FFFF00000000}"/>
  </bookViews>
  <sheets>
    <sheet name="MTEP Projects Under Evaluation" sheetId="1" r:id="rId1"/>
    <sheet name="hiddenSheet" sheetId="2"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 l="1"/>
</calcChain>
</file>

<file path=xl/sharedStrings.xml><?xml version="1.0" encoding="utf-8"?>
<sst xmlns="http://schemas.openxmlformats.org/spreadsheetml/2006/main" count="6398" uniqueCount="1683">
  <si>
    <t>Target MTEP Cycle</t>
  </si>
  <si>
    <t>Target Appendix</t>
  </si>
  <si>
    <t>Submitting TO</t>
  </si>
  <si>
    <t>Planning Region</t>
  </si>
  <si>
    <t>State(s)</t>
  </si>
  <si>
    <t>MTEP Project ID</t>
  </si>
  <si>
    <t>Project Name</t>
  </si>
  <si>
    <t>Project Description</t>
  </si>
  <si>
    <t>System Need</t>
  </si>
  <si>
    <t>Project Type</t>
  </si>
  <si>
    <t>Other Type</t>
  </si>
  <si>
    <t>Expected ISD</t>
  </si>
  <si>
    <t>Current Cost</t>
  </si>
  <si>
    <t>Planning Status</t>
  </si>
  <si>
    <t>Max kV</t>
  </si>
  <si>
    <t>Min kV</t>
  </si>
  <si>
    <t>MTEP26</t>
  </si>
  <si>
    <t>ITC</t>
  </si>
  <si>
    <t>MI</t>
  </si>
  <si>
    <t>Reconductor Brownstown-Monroe #1 345 kV</t>
  </si>
  <si>
    <t>Reconductor 7.282 miles of the 2-954 ACSR conductor on the Brownstown – Monroe #1 345 kV circuit to 2-1431 ACSR on double circuit steel structures built to 345 kV construction with OPGW. Remediate the sag on the existing 2-1431 ACSR conductor on the Brownstown – Monroe #1 345 kV circuit to the conductor limit. The reconductor is from structure # 10969 south to Monroe 345 kV. The sag remediation is from structure #10969 north to Brownstown 345 kV.</t>
  </si>
  <si>
    <t>The Brownstown – Monroe 345 kV circuit is projected to be heavily overloaded for many contingencies in the MISO MTEP25 study. The identified overloaded facilities are the conductor, sag limits, and equipment at Brownstown and Monroe 345 kV stations. Also needed for local needs from NPOA study. Also needs to be completed due to Project Cannoli.</t>
  </si>
  <si>
    <t>BRP</t>
  </si>
  <si>
    <t>M1 - Proposed</t>
  </si>
  <si>
    <t>Upgrade Brownstown - Wayne #2 345 kV Station Equipment &amp; Sag Remediation</t>
  </si>
  <si>
    <t>Upgrade the station equipment at Brownstown 345 kV position “FT”. Upgrade the station equipment at Wayne 345 kV positions "DF" and "DM". Raise the sag on Brownstown-Wayne 345kV line. Adjust CTs at both Wayne DF and DM breakers. All upgrades to a minimum summer emergency of 1585MVA (2653A).</t>
  </si>
  <si>
    <t>The Brownstown – Wayne #2 345 kV circuit is projected to be marginally overloaded for a shutdown-plus-contingency that takes out Brownstown – Fermi #2 345 kV and Monroe – Wayne #1 345 kV lines. The overloaded facility is the station equipment at Brownstown 345 kV positions “FM” and “FT”.</t>
  </si>
  <si>
    <t>SOUTHERN INDIANA GAS &amp; ELECTRIC COMPANY D/B/A CENTERPOINT ENERGY INDIANA SOUTH</t>
  </si>
  <si>
    <t>IN</t>
  </si>
  <si>
    <t>Replace Mount Vernon T3 138/69 kV Transformer</t>
  </si>
  <si>
    <t>Project is to replace the 100MVA 138/69 kV transformer T3 at the Mt. Vernon substation with a new 100MVA 138/69 kV transformer.  This project also includes replacing four (4) 138kV oil circuit brakers with 3000A gas circuit breakers, as well as six (6) 1200A 69kV oil circuit breakers with 2000A 69 kV gas circuit breakers.</t>
  </si>
  <si>
    <t>Replacement is needed due to the age and condition of the transformer and associated breakers at Mount Vernon Substation.</t>
  </si>
  <si>
    <t>Other</t>
  </si>
  <si>
    <t>Age and Condition</t>
  </si>
  <si>
    <t>Rebuild Vigo 69/12 kV Distribution Substation</t>
  </si>
  <si>
    <t>Project is to rebuild the 69/12 kV Vigo distribution substation.   This involves replacing the existing 3.75 MVA transformer with a new 9.375 MVA transformer, replacing the high side fusing with a new 2000A, 69 kV circuit switcher, and replacing all associated low side breakers and equipment on a new site adjacent to the existing.</t>
  </si>
  <si>
    <t>The existing site for the Vigo Substation is inadequate to accommodate the replacement of the distribution transformer, which needs replacement due to age and condition.  The new site will allow construction to follow current company standards with enhanced reliability.</t>
  </si>
  <si>
    <t>AMERICAN TRANSMISSION COMPANY</t>
  </si>
  <si>
    <t>9 Mile SW STA – Pine River 69kV (6921/23) Line Rebuild</t>
  </si>
  <si>
    <t>Rebuild 17 miles of double circuit steel 69kV line (Pine River - 9 Mile). Construct ~50’ off existing centerline due to outage constraints. Serve three taps to customer substations from the 6923 line.
Rebuild Tone &amp; Rudyard radial (short) tap lines, partial rebuild Kincheloe tap line, and install OPGW fiber communication. Install OPGW fiber communication.</t>
  </si>
  <si>
    <t>Asset Renewal - Transmission Line</t>
  </si>
  <si>
    <t>NORTHERN STATES POWER COMPANY</t>
  </si>
  <si>
    <t>WI</t>
  </si>
  <si>
    <t>Ashland to Ironwood 88kV</t>
  </si>
  <si>
    <t>Rebuild and relocate Bayfront to Norrie 88kV  Rebuild and relocate Gingles to Hurley 115kV</t>
  </si>
  <si>
    <t>Rebuild of existing lines needed to remediate reliability concerns due to aging condition of lines. New right of way needed due to severe environmental and access issues</t>
  </si>
  <si>
    <t>Local Reliability</t>
  </si>
  <si>
    <t>Airport - WDHVN Tap 120 kV Sag Remediation</t>
  </si>
  <si>
    <t>Raise the sag on Airport - WDHVN Tap 120 kV section up to the conductor's limit.</t>
  </si>
  <si>
    <t>MISO identified thermal issues on the Airport - WDHVN Tap 120 kV section for P6 contingencies in their initial MTEP19 study models.</t>
  </si>
  <si>
    <t>M2 - Appendix A Approved</t>
  </si>
  <si>
    <t>METC</t>
  </si>
  <si>
    <t>Rebuild Bingham - Cornell 138 kV</t>
  </si>
  <si>
    <t>ITC is to rebuild the approximately 19.1 miles of the Bingham – Cornell 138kV with 954 ACSR 138kV double circuit standards and upgrade terminal station equipment at Cornell.</t>
  </si>
  <si>
    <t>•	The Bingham to Cornell 138kV circuit consists of 227 total structures. 17 Lattice Towers, 66 Steel Poles and 144 wood poles installed from 1955 and onward. The average life of the poles is nearing 70 years of age.
•	This project to recommend rebuilding from Bingham Substation to 061I8527. It is recommended to build to current METC 138kV standards which includes steel structures and standard 138kV conductor size. 
•	There have been 12 outages. Those outages consist of 2 lockouts and 10 momentary interruptions. Out of the 12 outages 6 have been caused by storms. 
o	In the last 5 years (2020-2025) this circuit had 4 momentary outages and 1 lockout outage, due to (ice) storms. 
•	There are currently 57 open exceptions for structures that have failed inspections for structural damage, broken/cracked cross arms, bad insulators and bent steel.  
•	This line can be rebuilt from Bingham-Cornell. Doing this will allow METC to not drop the connection to Bluewater Consumers Energy Tap. 
•	Due to the number of exceptions that are written up on the Bingham-Cornell line for aging infrastructure, METC is recommending a full line rebuilt to current 138kV standards.</t>
  </si>
  <si>
    <t>MINNESOTA POWER INC.</t>
  </si>
  <si>
    <t>MN</t>
  </si>
  <si>
    <t>Cloquet Substation Modernization</t>
  </si>
  <si>
    <t>Project involves replacing three 115 kV circuit breakers and surrounding switches, wave traps, and substation conductor. A 19.5 MVAR capacitor bank will also be added to the substation.</t>
  </si>
  <si>
    <t>133 Line Rebuild</t>
  </si>
  <si>
    <t>Rebuild 133 Line between Verndale and GRE-Wing River.</t>
  </si>
  <si>
    <t>230 kV breaker addition at the Wing River Substation is causing post-contingency overloads on 133 Line and 24 Line for loss of Riverton-Wing River 230 kV and Hubbard-Erie Junction 230 kV</t>
  </si>
  <si>
    <t>24 Line Upgrade</t>
  </si>
  <si>
    <t>Thermal upgrade on transmission line conductor, replacement of transmission line switches, and replacement of terminal equipment at the Verndale Substation</t>
  </si>
  <si>
    <t>AMEREN ILLINOIS</t>
  </si>
  <si>
    <t>IL</t>
  </si>
  <si>
    <t>Upgrade Cat 1 138 kV substation</t>
  </si>
  <si>
    <t>Create ring bus and provide lead lines back to Cat 1.</t>
  </si>
  <si>
    <t>Inspection items found to be in poor condition which is a leading indicator of failure. 
Breakers have reached the end of their useful life and have hydraulic issues.</t>
  </si>
  <si>
    <t>Upgrade Cat Mossville 138 kV substation</t>
  </si>
  <si>
    <t>Create new 4 position ring bus NW of Cat Mossville and provide double circuit lead lines to plant for increased reliability.</t>
  </si>
  <si>
    <t>Inspection items were found to be in poor condition which is a leading indicator for potential failure. 
Breakers and switches have seen the end of their useful life. 1395 is causing problems.</t>
  </si>
  <si>
    <t>AMEREN MISSOURI</t>
  </si>
  <si>
    <t>MO</t>
  </si>
  <si>
    <t>Expand Wildwood 345/138 kV substation</t>
  </si>
  <si>
    <t>Rebuild Wildwood 345 kV into a five-position ring bus and build two (2) new 138 kV lines from Wildwood to Eatherton and Babler.  Build two (2) new positions at Wildwood for the new lines.</t>
  </si>
  <si>
    <t>Increased reliability</t>
  </si>
  <si>
    <t>New Point Prairie 161 kV ring bus</t>
  </si>
  <si>
    <t>Rebuild Point Prairie 161kV substation as a five-position ring bus with one position available for future expansion.</t>
  </si>
  <si>
    <t>Pine – Skanawan Tap – Eastom 115kV (I-9), OPGW Addition &amp; Partial Rebuild</t>
  </si>
  <si>
    <t>Install ~21 Miles of OPGW fiber on T-Line (I-9) between the Pine substation and the Eastom substation.</t>
  </si>
  <si>
    <t>Other Local Needs - Communication</t>
  </si>
  <si>
    <t>Local Needs</t>
  </si>
  <si>
    <t>Presque Isle SS Breaker and Relay Asset Renewal</t>
  </si>
  <si>
    <t>Replacement of numerous breakers and disconnect switches. Replacement of numerous line relay panels and breaker control panels.</t>
  </si>
  <si>
    <t>Asset Renewal - Substation</t>
  </si>
  <si>
    <t>Greenville McCord-S. Centralia 138 kV Rebuild</t>
  </si>
  <si>
    <t>Rebuild, re-conductor, and add OPGW to the Greenville McCord-S. Centralia-1419 138kV line.</t>
  </si>
  <si>
    <t>Age and condition</t>
  </si>
  <si>
    <t>North Monroe - Verona 69 kV (Y-42/Y-208), Rebuild &amp; OPGW</t>
  </si>
  <si>
    <t>Partial rebuild of line Y-42 from North Monroe SS to Verona SS.</t>
  </si>
  <si>
    <t>North Lake Geneva - Walworth 69 kV (Y-41), Partial Rebuild &amp; OPGW</t>
  </si>
  <si>
    <t>Asset Renewal scope: Rebuild of line Y-41 from North Lake Geneva SS to Williams Bay SS and installation of OPGW (PR09283).
Communication scope: OPGW from Walworth SS to Williams Bay SS. Small portion of T-Line Re-build to replace aging structures (PR09460).</t>
  </si>
  <si>
    <t>South Lake Geneva - North Lake Geneva 69 kV (Y-152), Partial Rebuild &amp; OPGW</t>
  </si>
  <si>
    <t>Partial rebuild of line Y-152 from South Lake Geneva SS to North Lake Geneva SS.</t>
  </si>
  <si>
    <t>Gran Grae - Hillside 69 kV (Y-161), Rebuild &amp; OPGW</t>
  </si>
  <si>
    <t>Rebuild of line Y-161 from Gran Grae SS to Hilltop SS.</t>
  </si>
  <si>
    <t>Lost Dauphin - Oak St 69 kV (E-31), Partial Rebuild</t>
  </si>
  <si>
    <t>Rebuild and install OPGW on approximately 2.6 miles of E-31 from Oak St. SS towards Lost Dauphin SS (outside of Red Maple near Structure 214).</t>
  </si>
  <si>
    <t>This project will construct a new 345 kV 3-position ring bus named Wayward to serve as the Point of Interconnection for the Interconnection Customer's Generating Facility, Coles Wind, LLC. on the existing KANS-ARLD-4532 345 kV transmission line.</t>
  </si>
  <si>
    <t>Generator Interconnection</t>
  </si>
  <si>
    <t>GIP</t>
  </si>
  <si>
    <t>New Dover 138 kV substation</t>
  </si>
  <si>
    <t>Build approximately 0.5 miles of new transmission line to connect the Dover Substation to METC’s Beecher to Dowling Junction line.</t>
  </si>
  <si>
    <t>Local Reliability:
138 kV Transmission line required to accommodate Midwest Energy Cooperative interconnection request.</t>
  </si>
  <si>
    <t>Verndale Modernization</t>
  </si>
  <si>
    <t>Rebuild Verndale115 kV substation on new site with larger transformers. Will remove line connected transformer.</t>
  </si>
  <si>
    <t>Replaces age and condition related equipment at the Verndale Substation.</t>
  </si>
  <si>
    <t>New Port Calcite-Rockport 138 kV Station - Generator Interconnection J1914 - Network Upgrades (150 MW)</t>
  </si>
  <si>
    <t>Construct a new switching station as a breaker and half station with 3 breakers in a ring bus configuration. Loop the Port Calcite-Rockport 138 kV line into the new switching station. Install fiber from Rockport to Port Calcite. Install Trench CCVTs with harmonic monitoring packages at position BM10.</t>
  </si>
  <si>
    <t>Tariff Requirement under GIA. J1914 is a generation interconnection request for 150 MW Solar Power Plant proposing to connect to the METC Rockport-Port Calcite 138 kV Line. J1914 is queued within the DPP 2021 Cycle 1. This is a Network Upgrade that is eligible for reimbursement.</t>
  </si>
  <si>
    <t>New Newton 138 kV Substation - Generation Interconnection J1916 - Network Upgrade (100 MW)</t>
  </si>
  <si>
    <t>Expand the Newton substation by adding three 138 kV breakers and five 138 kV disconnect switches, install anti-islanding relaying at the Wagner, Michigan Avenue, Lukesport, Butters, and Coldwater substations, and relocate the Michigan Avenue-Newton line to Newton position BM10</t>
  </si>
  <si>
    <t>Tariff requirement under a GIA. J1916 is a generator interconnection request for 100 MW of Solar Generation proposing to connect to the METC Newton 138 kV substation.  J1916 is a generator in the DPP 2021 cycle</t>
  </si>
  <si>
    <t>New Newton 138 kV Substation - Generator Interconnection J1916 - TOIF (100 MW)</t>
  </si>
  <si>
    <t>Install a line entrance structure and a switch for the generator to connect at position WM11. TOIF costs estimates are funded by the customer and ITC costs will be $0 as it will be a CIAC project for ITC.</t>
  </si>
  <si>
    <t>J1916 is a generator interconnection request for 100 MW of Solar Generation proposing to connect to the METC Newton 138 kV substation. These facilities are TOIF. TOIF is not eligible for reimbursement.</t>
  </si>
  <si>
    <t>ND</t>
  </si>
  <si>
    <t>MDU MTEP23 Generator Deliverability Upgrades</t>
  </si>
  <si>
    <t>Rebuild or Reconductor Merricourt to Tatanka 230 kV line with larger conductor.  Replace all breakers, switches and wavetraps at Tatanka North Sub  Re-tap CTs at Merricourt Substation.</t>
  </si>
  <si>
    <t>Identified as constraints in the MTEP23 Generator Deliverability Study. If project J1040 does not move forward the upgrades may not be needed.</t>
  </si>
  <si>
    <t>New Nelson Road-Kenowa 345 kV station - Generator Interconnection J1918 - TOIF (132 MW)</t>
  </si>
  <si>
    <t>Install a J1918 switchyard line entrance structure and a switch for the generator to connect at position RH29.</t>
  </si>
  <si>
    <t>J1918 is a generator interconnection request for 132 MW of Solar Generation proposing to connect to the METC Kenowa-Nelson Road 345 kV circuit. These facilities are TOIF. TOIF is not eligible for reimbursement.</t>
  </si>
  <si>
    <t>New Port Calcite-Rockport Station - Generator Interconnection J1914 - TOIF (150 MW)</t>
  </si>
  <si>
    <t>Install line entrance structures as well as 177 disconnect switch as TOIF. J1914 will interconnect at position BM10. TOIF costs estimates are funded by the customer and ITC costs will be $0 as it will be a CIAC project for ITC.</t>
  </si>
  <si>
    <t>Tariff requirement under a GIA. J1914 is a generation interconnection request for 150 MW Solar Power Plant proposing to connect to the METC Port Calcite-Rockport 138 kV Line. J1914 is queued within the DPP 2021 Cycle 1. These facilities are TOIF.  TOIF is not eligible for reimbursement.</t>
  </si>
  <si>
    <t>New Nelson Road-Kenowa 345 kV station - Generator Interconnection J1918 - Network Upgrades (132 MW)</t>
  </si>
  <si>
    <t>Construct new J1918 switching station as a breaker and half station with three 63kA breakers in a ring bus configuration. Loop-in the Nelson Road - Kenowa 345kV circuit to the new J1918 station.</t>
  </si>
  <si>
    <t>J1918 is a generation interconnection request for 132 MW Solar Power Plant proposing to connect to the METC Nelson Road - Kenowa 345 kV Line</t>
  </si>
  <si>
    <t>MS</t>
  </si>
  <si>
    <t>W. Hattiesburg - N. Hattiesburg Loop Line</t>
  </si>
  <si>
    <t>Construct approximately 5 miles of new transmission line from the West Hattiesburg Delivery point to a new 69kV GOAB located adjacent to the North Hattiesburg Substation. The addition of this line will provide loop transmission service between North Hattiesburg Substation and Rawls Springs Substation, provide an OPGW communication link between West Hattiesburg and North Hattiesburg and improve reliability for the areas served.</t>
  </si>
  <si>
    <t xml:space="preserve">The North Hattiesburg delivery point has been served from a 3.6 mile radial tap Line 94 (Rawls Springs - North Hattiesburg 69kV) since its construction in 1984. The majority of Line 94 crosses and traverses the Bowie River basin with a significant portion located between the Bowie river and a Canadian National railroad. This severely restricts access and impedes normal maintenance operations.  </t>
  </si>
  <si>
    <t>New 138 kV Station - Generator Interconnection J2815 - Network Upgrades (140 MW)</t>
  </si>
  <si>
    <t>Construct new 3 breaker station as a breaker and half station in a ring bus configuration. Cut the Argenta-Verona 138 kV line into the new station with at least 1431 ACSR. Install Trench CCVTs with harmonic monitoring packages at position WM17.</t>
  </si>
  <si>
    <t>Tariff Requirement under GIA. 2815 is a generation interconnection request for a 140 MW Solar Generation Facility proposing to connect to the Argenta – Verona 138 kV line. J2815 is queued within DPP 2022 cycle. This is a Network Upgrade that is eligible for reimbursement.</t>
  </si>
  <si>
    <t>New 138 kV Station - Generator Interconnection J2815 - TOIF (140 MW)</t>
  </si>
  <si>
    <t>J2815 will interconnect at point WM17. Install 177 disconnect switch and required entrance structures at position WM17. TOIF costs estimates are funded by the customer and ITC costs will be $0 as it will be a CIAC project for ITC.</t>
  </si>
  <si>
    <t>Tariff requirement under GIA. J2815 is a generation interconnection request for a 140 MW Solar Generation Facility proposing to connect to the Argenta – Verona 138 kV line. J2815 is queued within DPP 2022 cycle. These facilities are TOIF.  TOIF is not eligible for reimbursement.</t>
  </si>
  <si>
    <t>Install one new 138 kV terminal in the San Jose Rail Substation to serve as the Point of Interconnection for San Jose Solar, LLC.</t>
  </si>
  <si>
    <t>Generator Interconnections</t>
  </si>
  <si>
    <t>Install one new 138 kV terminal in the Ramsey East to serve as the Point of Interconnection for Hercules Solar, LLC.</t>
  </si>
  <si>
    <t>New Bollinger County Solar 345 kV Ring Bus Substation (J1519)</t>
  </si>
  <si>
    <t>Install a new 345 kV line position to serve as the Point of Interconnection for Bollinger County Solar, LLC under GIA J1519, within the new 3-position ring bus.</t>
  </si>
  <si>
    <t>New Reform Solar Odyssey 345 kV Ring Bus (J1836)</t>
  </si>
  <si>
    <t>The J1836 Generating Facility will interconnect with the Transmission System via a 345 kV leadline running from the Interconnection Customer's collector substation to the Transmission Owner's J1836 Interconnection Switching Station in Callaway County, Missouri. Substation name is Odyssey.</t>
  </si>
  <si>
    <t>The Pike Creek Wind (J1831) Generating Facility will interconnect with the Transmission System via a 138 kV leadline running from the Interconnection Customer's collector substation to the Transmission Owner's Shockey Switching Station in Menard County, IL. IF POS</t>
  </si>
  <si>
    <t>The Broadwing Energy Center (J1839) Generating Facility will interconnect with the Transmission System via a 138 kV leadline running from the Interconnection Customer's collector substation to the Transmission Owner's ADM North Switching Station in Macon County, IL. IF POS</t>
  </si>
  <si>
    <t>Install one new 138 kV terminal in the Bureau Substation to serve as the Point of Interconnection for Bureau County Wind, LLC. IF POS</t>
  </si>
  <si>
    <t>Install one new 345 kV terminal in the Leghorn Substation to serve as the Point of Interconnection for Spring Creek Solar, LLC. IF POS</t>
  </si>
  <si>
    <t>Install one new 138 kV terminal in the San Jose Rail Substation to serve as the Point of Interconnection for Rail Splitter II, LLC. IF POS</t>
  </si>
  <si>
    <t>Install a new 345 kV line position to serve as the Point of Interconnection for Geranium Solar, LLC  within the new 3-position ring bus.</t>
  </si>
  <si>
    <t>Install a new 138 kV line position to serve as the Point of Interconnection for Cumberland Road South Solar Project, LLC under GIA J1744, within the new 3-position ring bus.</t>
  </si>
  <si>
    <t>Columbia SS Power Transformer Asset Renewal</t>
  </si>
  <si>
    <t>Replace T21/T23 with one 500MVA transformer &amp; associated yard equipment.</t>
  </si>
  <si>
    <t>Asset Renewal</t>
  </si>
  <si>
    <t>Dam Heights - Kirkwood 69 kV (Y-75), Partial Rebuild</t>
  </si>
  <si>
    <t>Rebuild and install poles, conductor, and OPGW on approximately 7.7 miles out of 16.6 miles between various sections from Kirkwood SS to Dam Heights SS.</t>
  </si>
  <si>
    <t>A</t>
  </si>
  <si>
    <t>B</t>
  </si>
  <si>
    <t>Central</t>
  </si>
  <si>
    <t>East</t>
  </si>
  <si>
    <t>South</t>
  </si>
  <si>
    <t>West</t>
  </si>
  <si>
    <t>MISO Transmission Expansion Plan (MTEP) Projects Under Evaluation</t>
  </si>
  <si>
    <t>Upgrade Hunters Creek - Stratford 120 kV Line</t>
  </si>
  <si>
    <t>Upgrade ~ 4 miles of the Hunter’s Creek – Stratford 120 kV line to reach a minimum of 255 MVA summer emergency rating. This will also remove the sag limit. This project needs to be completed due to the Project Cannoli load.</t>
  </si>
  <si>
    <t>The Hunters Creek – Stratford 120 kV line is projected to become overloaded for P6 contingencies in MISO’s MTEP19 study. This project is also needed for the Cannoli load.</t>
  </si>
  <si>
    <t>New Coles Wind (J2128) Wayward 345 kV Substation</t>
  </si>
  <si>
    <t>WOLVERINE POWER SUPPLY COOPERATIVE, INC WPST</t>
  </si>
  <si>
    <t>M4 - Project in Service</t>
  </si>
  <si>
    <t>MONTANA-DAKOTA UTILITIES CO.MDU</t>
  </si>
  <si>
    <t>COOPERATIVE ENERGY SME</t>
  </si>
  <si>
    <t>New San Jose Solar (J1653) 138 kV Interconnection</t>
  </si>
  <si>
    <t>New Hercules Solar (J1626) 138 kV Interconnection</t>
  </si>
  <si>
    <t>New Shockey (J1831) 138 kV Interconnection</t>
  </si>
  <si>
    <t>New ADM North (J1839) 138 kV Interconnection</t>
  </si>
  <si>
    <t>New Bureau (J1755) 138 kV Interconnection</t>
  </si>
  <si>
    <t>New Leghorn (J1677) 345 kV Interconnection</t>
  </si>
  <si>
    <t>New San Jose Rail (J1725) 138 kV Interconnection</t>
  </si>
  <si>
    <t>New Camp Creek Wind (J1701) 138 kV Substation</t>
  </si>
  <si>
    <t>This project will construct a new 138 kV 3-position ring bus to serve as the Point of Interconnection for the Interconnection Customer's Generating Facility, Camp Creek Wind, LLC. The existing 138 kV Ipava-Macomb West-1429 transmission line will be split and terminated into two of the positions at the new substation. The 138 kV lead line from Camp Creek Wind, LLC will terminate into the third position.</t>
  </si>
  <si>
    <t>New Geranium Solar (J1712) 345 kV Interconnection</t>
  </si>
  <si>
    <t>New Cumberland Road South Solar (J1744) 138 kV Interconnection</t>
  </si>
  <si>
    <t>Riverside (ALTE) - Erdman 69 kV (Y-82/X-64/X-37), Partial Rebuild &amp; OPGW</t>
  </si>
  <si>
    <t>Rebuild and install poles, conductor, and OPGW on approximately 3.6 miles from Erdman substation to Structure 97 (X-64/Y-82) and 1 mile from Structure 81 to Structure 65 (Y-82/X-37), and to also install OPGW on portions not being rebuilt to complete the fiber path.</t>
  </si>
  <si>
    <t>Asset Renewal &amp; Communication</t>
  </si>
  <si>
    <t>Zenda - Katzenberg 69 kV (Y-51 ALE), Partial Rebuild</t>
  </si>
  <si>
    <t>Rebuild and install poles, conductor, and OPGW on approximately 8.2 miles of Y-51 ALE from Zenda Tap switch structure to Katzenberg SS and rebuild approximately 2 miles from Zenda Tap to Zenda.</t>
  </si>
  <si>
    <t>New Castle Bluff Energy Center Meramec 138 kV connection (R1047)</t>
  </si>
  <si>
    <t>The Castle Bluff Energy Center (CBEC) is a new planned 800MW gas combustion turbine site, located at the Meramec Energy Center property, to be owned and operated by Ameren Missouri.</t>
  </si>
  <si>
    <t>MI; WI</t>
  </si>
  <si>
    <t>Small Capital Project and Asset Renewal Program 2027</t>
  </si>
  <si>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t>
  </si>
  <si>
    <t>Asset Renewal – Program</t>
  </si>
  <si>
    <t>Communications Reliability Program 2027</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</si>
  <si>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2027.</t>
  </si>
  <si>
    <t>Communications – Program</t>
  </si>
  <si>
    <t>Line Clearance Mitigation Program 2027</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</si>
  <si>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2027.</t>
  </si>
  <si>
    <t>Reliability – Line Clearance Program</t>
  </si>
  <si>
    <t>Load Interconnection Program 2027</t>
  </si>
  <si>
    <t>Load Interconnection Project life cycles are customer need driven and typically have shorter project life cycles.
These Load Interconnections typically require limited infrastructure modifications and additions.
These projects have limited scope and cost. Initial capital spend for this program expected in 2027.</t>
  </si>
  <si>
    <t>Load Interconnection – Program</t>
  </si>
  <si>
    <t>Load Growth</t>
  </si>
  <si>
    <t>Racine - St. Rita 138 kV (8531), Rebuild</t>
  </si>
  <si>
    <t>Rebuild the entire line, approximately 8 miles of 138 kV single circuit wood monopoles and approximately 2 miles of single circuit lattice tower section.  Project to also to install OPGW end to end and terminate within substations.</t>
  </si>
  <si>
    <t>Asset Renewal, Reliability</t>
  </si>
  <si>
    <t>Replace Labadie 345 kV 3-4 bus tie switches</t>
  </si>
  <si>
    <t>Labadie 345 kV 3-4 bus tie. Replace 2000 Amp switches with 3000 Amp switches</t>
  </si>
  <si>
    <t>Dam Heights – Sauk City Oak St 69 kV (Y-14), Partial Rebuild &amp; OPGW</t>
  </si>
  <si>
    <t>Rebuild and install poles, conductor, and OPGW on approximately 2.0 miles out of 2.4 miles between Dam Heights SS to Sauk City Oak St SS.</t>
  </si>
  <si>
    <t>Battle Creek-Oneida - J2098 Generator Interconnection (Oxby) - TOIF</t>
  </si>
  <si>
    <t>Install line entrance structures as well as 177 disconnect switch as TOIF. J2098 will interconnect at position FH29.</t>
  </si>
  <si>
    <t>Tariff requirement under GIA.J2098 is a generation interconnection request for a 309 MW Solar Power Plant proposing to connect to the METC Battle Creek-Oneida 345 kV line. J2098 is queued within DPP 2021 cycle. These facilities are TOIF.  TOIF is not eligible for reimbursement.</t>
  </si>
  <si>
    <t>Battle Creek-Oneida - J2098 Generator Interconnection (Oxby) - Network Upgrades</t>
  </si>
  <si>
    <t>Construct new Oxby station as breaker and half in a ring bus configuration. Loop in the Battle Creek-Oneida line to the new Oxby station. Install Trench CCVTs with harmonic monitoring packages at position FH29.</t>
  </si>
  <si>
    <t>Tariff requirement under a GIA. J2098 is a generation interconnection request for a 309 MW Solar Power Plant proposing to connect to the METC Battle Creek-Oneida 345 kV line. J2098 is queued within DPP 2021 cycle. This is a Network Upgrade that is eligible for reimbursement.</t>
  </si>
  <si>
    <t>SOUTHERN MINNESOTA MUNICIPAL POWER AGENCY</t>
  </si>
  <si>
    <t>Byron J1124 345kV Interconnection</t>
  </si>
  <si>
    <t>Interconnect 100 MW of solar at the Agency's Byron 345 kV substation.</t>
  </si>
  <si>
    <t>Rutland J1566 161kV Interconnection</t>
  </si>
  <si>
    <t>Rutland 161kV Substation interconnection to new solar farm.</t>
  </si>
  <si>
    <t>GREAT RIVER ENERGY</t>
  </si>
  <si>
    <t>Otto Area Rebuild</t>
  </si>
  <si>
    <t>New interconnection for Otto Substation to GRE owned LR-PR 115kV line. Install a 3-way 115kV switch and construct a new 2.7 mile 115kV line from the tap switch to the high side of Otto distribution substation.</t>
  </si>
  <si>
    <t>Otto is currently served from an unreliable OTP 41.6 kV line. The age and condition of the line and substation necessitate rebuilding. Otto was built as a temporary substation with wood structures, and therefore does not have a standard design; LREC wants to rebuild to their standard substation design.   
There is a GRE owned 115 kV line directly north and less than 3 miles from the existing Otto substation, and LREC requests interconnection to this line to improve reliability and service for their members. The 115 kV line has a higher reliability grade than the OTP line and it will be cheaper to do this new interconnection that rebuild the existing 41.6 kV line.</t>
  </si>
  <si>
    <t>Transmission Line Pole Replacement 2026</t>
  </si>
  <si>
    <t>Replacing red-tag transmission line poles.</t>
  </si>
  <si>
    <t>Portage Street Breaker and SCADA Asset Renewal</t>
  </si>
  <si>
    <t>Install three new breakers, all line and bus side disconnects. Replace all “brown colored” bus, dead end and standoff insulators.  New disconnects will replace the switch insulators. Remove spark gap arresters on top of the structure. Install new line side arresters and retire the arresters mounted on the breaker line side bushings. Replace two control building HVAC units. Replace all relaying and GPS clock.</t>
  </si>
  <si>
    <t>DUKE ENERGY INDIANA, LLC CIN</t>
  </si>
  <si>
    <t>New Bloomington NE 69/12 kV Substation</t>
  </si>
  <si>
    <t>Bloomington NE 69/12kV Sub: 954 loop thru with line disc sw's (2) and bus tie (1) ; Build a new 33.6MVA 69-12KV Sub with four 12KV circuit exits. Option for a future 33.6MVA bank. Full SCADA &amp; IVVC capabilities.</t>
  </si>
  <si>
    <t>Distribution load growth</t>
  </si>
  <si>
    <t>Columbia - Portage 69 kV (Y-99), Partial Rebuild</t>
  </si>
  <si>
    <t>Rebuild 3.2 out of 5.5 miles​. Reroute and/or improve access along existing route alignment.</t>
  </si>
  <si>
    <t>R1041 Generator Interconnection - TOIF</t>
  </si>
  <si>
    <t>Install Trenton channel line position with CCVTs with harmonic monitoring packages at position JC.</t>
  </si>
  <si>
    <t>Tariff Requirement under GIA. R1041 is a generation interconnection request for 220 MW battery storage facility proposing to connect to the Trenton Channel 120 kV station. These facilities are TOIF.  TOIF is not eligible for reimbursement..</t>
  </si>
  <si>
    <t>Rebuilds on 138 kV from Diamond Core Load Addition (RECC Territory)</t>
  </si>
  <si>
    <t>Rebuild Towerline-San Jose Rail-1625, Austin-Yvonne-1545, and Yvonne-Taylorville South-1601 138 kV lines, 2000 Amps minimum continuous capability. These rebuilds resolve overloads identified in N-1 and N-1-1 contingency studies due to this 336 MW load addition.</t>
  </si>
  <si>
    <t>Aviation - North Fond Du Lac 138 kV (G-111),  Partial Rebuild</t>
  </si>
  <si>
    <t>Rebuild approximately 14 miles between Aviation to North Fond Du Lac.</t>
  </si>
  <si>
    <t>Concord SS Breaker and Relay Asset Renewal</t>
  </si>
  <si>
    <t>Asset renewal replacement of circuit breakers and relays at Concord SS.</t>
  </si>
  <si>
    <t>I-61/Q-43 69 kV Partial Rebuilds &amp; OPGW</t>
  </si>
  <si>
    <t>Installation of ~2.5 Miles of OPGW Fiber on T-Line: I-61 between the (Sunset Point and Pearl Ave) substations in alignment with Pearl Ave - 12th Ave 69 kV (I-61), Partial rebuild asset renewal and installation of 1 mile of OPGW fiber on T-Line: Q-43 between the 12th Ave and Ellinwood substations.
Rebuild approximately 5 miles between Pearl Ave and 12th Ave due to Age and Condition.</t>
  </si>
  <si>
    <t>Communication</t>
  </si>
  <si>
    <t>Sun Prairie - Highway 151, Fiber Installation</t>
  </si>
  <si>
    <t>Installation of ~4 Miles of UG Fiber between the Sun Prairie and Highway 151 substations.</t>
  </si>
  <si>
    <t>Old Mead Road to Masonville, Underground Fiber Installation</t>
  </si>
  <si>
    <t>Installation of ~12 Miles of UG Fiber between the Old Mead Road, North Bluff, Gladstone and Masonville substations.</t>
  </si>
  <si>
    <t>Iron Grove to Lincoln Ave (UPPCO) 69 kV (CRFY21), OPGW Installation</t>
  </si>
  <si>
    <t>Installation of ~1.5 Miles of OPGW Fiber on T-Line: CRFY21 between the (Iron Grove to Lincoln Ave: UPPCO) substations.</t>
  </si>
  <si>
    <t>Erdman - Edgewater 69 kV (Y-31),  Partial Rebuild</t>
  </si>
  <si>
    <t>Rebuild approximately 1 mile between Erdman and Edgewater due to Age and Condition.</t>
  </si>
  <si>
    <t>3 Mile - 9 Mile 69 kV (ESE_6903/ESE_6902/ESE_6901), Rebuild and Reconfigure</t>
  </si>
  <si>
    <t>Rebuild approximately 6 miles between 3 Mile and 9 Mile and reconfigure 6 miles between 3 Mile and 9 Mile due to Age and Condition.</t>
  </si>
  <si>
    <t>East Campus - Blount 69 kV (6906),  Replace Underground Cable</t>
  </si>
  <si>
    <t>Rebuild approximately 2 miles between East Campus and Blount due to Age and Condition.</t>
  </si>
  <si>
    <t>Berlin - Ripon 69 kV (Y-93), Partial Rebuild</t>
  </si>
  <si>
    <t>Rebuild approximately 11 miles between Berlin and Ripon due to Age and Condition.</t>
  </si>
  <si>
    <t>South Beaver Dam - Columbus (ALTE) 69 kV (Y-21), Partial Rebuild</t>
  </si>
  <si>
    <t>Rebuild approximately 11 miles between South Beaver Dam and Columbus due to Age and Condition.</t>
  </si>
  <si>
    <t>Glenview - Lost Dauphin 69 kV (F-6),  Partial Rebuild</t>
  </si>
  <si>
    <t>Rebuild approximately 11 miles between Glenview and Lost Dauphin due to Age and Condition.</t>
  </si>
  <si>
    <t>North Mullet River - Sheboygan Falls 69 kV (Y-50),  Rebuild</t>
  </si>
  <si>
    <t>Rebuild approximately 12 miles between North Mullet River and Sheboygan Falls due to Age and Condition.</t>
  </si>
  <si>
    <t>Maplewood - Badger 138 kV (W-75),  Rebuild</t>
  </si>
  <si>
    <t>Rebuild approximately 28 miles between Maplewood and Badger due to Age and Condition.</t>
  </si>
  <si>
    <t>Hiawatha SS Control Building, Relays and Breaker Ends Asset Renewal</t>
  </si>
  <si>
    <t>Asset Renewals at Hiawatha SS for six 69kV Oil Circuit Breakers, one 138kV Oil Circuit Breaker, 13 Disconnect Switches, Control house and associated protection/control equipment, select remote end relaying panels, and one 138kV circuit switcher.</t>
  </si>
  <si>
    <t>Lone Rock SS Phase Shifter, Breaker, and Relay Asset Renewals</t>
  </si>
  <si>
    <t>Asset Renewal of one 50 MVA Phase shifting transformer, one 69kV circuit breaker, two  69kV circuit switchers, two relay panels, 3 69kV disconnect switches, and one battery bank.</t>
  </si>
  <si>
    <t>North Madison 69kV SS Power Transformer and Breaker Asset Renewal</t>
  </si>
  <si>
    <t>Asset Renewal of one 138kV/69kV, 187MVA, Power Transformer, and two oil circuit breakers.</t>
  </si>
  <si>
    <t>Asset Renewal - Transformer</t>
  </si>
  <si>
    <t>Nordic SS Power Transformer Asset Renewal</t>
  </si>
  <si>
    <t>Asset Renewal of one 138kV/69kV, 56MVA, Power Transformer, and three relay panels.</t>
  </si>
  <si>
    <t>Fitchburg SS Control Building, Relay, Breaker and Remote Ends Asset Renewal</t>
  </si>
  <si>
    <t>Asset Renewal of Control house and all applicable protection/control equipment, remote end relaying, and six 138kV oil circuit breakers.</t>
  </si>
  <si>
    <t>Asset Renewal - Control House</t>
  </si>
  <si>
    <t>Plains SS Relay, Instrument Transformers and Breaker Asset Renewal</t>
  </si>
  <si>
    <t>Asset Renewals of one 345kV circuit breaker, one 69kV circuit breaker, twelve disconnect switches, 17 protection/control panels, and 35 instrument transformers</t>
  </si>
  <si>
    <t>Mayville SS Control Building, Relays and Breaker Asset Renewal</t>
  </si>
  <si>
    <t>Asset Renewals of one 69kV Oil circuit breaker, one 69kV capacitor bank, two 69kV disconnect switches, and the control house with all associated equipment.</t>
  </si>
  <si>
    <t>Asset Renewal - Control Building</t>
  </si>
  <si>
    <t>Rio Pumping Station SS Control Building, Relay and Breaker Asset Renewal</t>
  </si>
  <si>
    <t>Asset Renewals of two 69kV Oil circuit breakers and the control house with all associated equipment.</t>
  </si>
  <si>
    <t>Huiskamp SS Control Building and Relay Asset Renewal</t>
  </si>
  <si>
    <t>Install new ATC owned control house with all associated equipment.</t>
  </si>
  <si>
    <t>Sigel SS Control Building and Relay Asset Renewal</t>
  </si>
  <si>
    <t>Asset Renewal of the control house with all associated equipment.</t>
  </si>
  <si>
    <t>Forsyth SS Breaker and Relay Asset Renewal</t>
  </si>
  <si>
    <t>Asset renewal of two 138kV oil circuit breakers, two 69kV oil circuit breakers, four relay panels, and nine disconnect switches.</t>
  </si>
  <si>
    <t>Asset Renewal - Breakers</t>
  </si>
  <si>
    <t>Manitowoc Area SS Relay Asset Renewal</t>
  </si>
  <si>
    <t>Asset Renewal of one 69kV oil circuit breaker, one 69kV disconnect switch, the control house with all associated equipment, and remote end relays.</t>
  </si>
  <si>
    <t>St Martins - Oak Creek 138kV, reconfigure facilities to form new network line</t>
  </si>
  <si>
    <t>o	Install short transmission line spans to complete and energize a “Non-Op” line that shares the same double-circuit structures with the existing Bluemound – Oak Creek 230 kV line (862).  The new circuit will also include a line section from the Oak Creek – Racine 138 kV line (812), which will be reconfigured in a separate project.  One end of the new line will be terminated at Oak Creek SS, and the other at St Martins SS to form a new circuit.  
o	Reconfigure Edgewood-St. Martins 138 kV line (3013) and Root River-St. Martins 138 kV line (778k51) to adjacent existing line terminals at St. Martins SS.  Interconnect the new line to the terminal vacated by the move of 778k51.
o	Add a 138 kV breaker and disconnects at St Martins SS
o	Add new 138 kV relaying packages at St. Martins and Oak Creek substations.</t>
  </si>
  <si>
    <t>Hat Trick Feeder Addition</t>
  </si>
  <si>
    <t>Adding a 115 kV tie breaker to Hat Trick Substation.</t>
  </si>
  <si>
    <t>Increase local reliability.</t>
  </si>
  <si>
    <t>Indian Lake SS Switch, Relay and Remote Ends Asset Renewal</t>
  </si>
  <si>
    <t>Asset Renewal of 12 138kV disconnect switches, 9 protection and control panels, and 1 RTU panel.</t>
  </si>
  <si>
    <t>Shingleton - Seney (UPPCO) 69 kV (Inland), Rebuild</t>
  </si>
  <si>
    <t>Rebuild approximately x miles between Shingleton and Seney due to Age and Condition.</t>
  </si>
  <si>
    <t>Asset Renewal - Green Treated</t>
  </si>
  <si>
    <t>Kansas (Norwich Term) - Harbor 138 kV (KANG41),  Replace Underground Cable</t>
  </si>
  <si>
    <t>Replace approximately 5 miles of underground cable between Kansas (Norwich Term) and Harbor due to Age and Condition.</t>
  </si>
  <si>
    <t>Asset Renewal – Underground</t>
  </si>
  <si>
    <t>Mukwonago - University 138 kV (UNIG52),  Rebuild</t>
  </si>
  <si>
    <t>Rebuild approximately 28 miles between Mukwonago and University due to Age and Condition.</t>
  </si>
  <si>
    <t>Asset Renewal – Lattice Tower</t>
  </si>
  <si>
    <t>ESE_6903 East Riser - ESE_6903 West Riser 69 kV (ESE_6903),  Replace Underground Cable</t>
  </si>
  <si>
    <t>Replace approximately .07 miles of underground cable between ESE_6903 East Riser and ESE_6903 West Riser due to Age and Condition.</t>
  </si>
  <si>
    <t>Asset Renewal - Underground</t>
  </si>
  <si>
    <t>Str 0707E1300 39/21, 4T - Timberlane Tap 69 kV (6927), Replace Underground Cable</t>
  </si>
  <si>
    <t>Replace approximately 1 mile of underground cable between Str 0707E1300 39/21, 4T and Timberlane Tap due to Age and Condition.</t>
  </si>
  <si>
    <t>Aspen - Crystal Falls 69 kV (ASPY51),  Partial Rebuild</t>
  </si>
  <si>
    <t>Rebuild approximately 9 miles between Aspen and Crystal Falls due to Age and Condition.</t>
  </si>
  <si>
    <t>Pulliam SW YD - Maplewood 138 kV (X-76/MSNG41/D-82), Rebuild</t>
  </si>
  <si>
    <t>Rebuild approximately 8 miles of single circuit 138kV line X-76 from Maplewood to Pulliam SW Yd as single circuit 138 kV for 3.75 miles from Maplewood to structure 40, double circuit with MSNG41 for 0.7 miles from structure 40 to Howard SS, double circuit with D-82 for 3.4 miles.  Rebuild approximately 1 mile of single circuit on MSNG41 from structure 20 to structure 496.</t>
  </si>
  <si>
    <t>Asset Renewal – Wood Pole</t>
  </si>
  <si>
    <t>Badger West 69kV 20ohm Series Reactor</t>
  </si>
  <si>
    <t>Install 69kV 20ohm series reactor at Badger West on line Badger West – Saratoga 69kV (Y-302).</t>
  </si>
  <si>
    <t>Reliability</t>
  </si>
  <si>
    <t>INDIANAPOLIS POWER &amp; LIGHT COMPANY</t>
  </si>
  <si>
    <t>New Antioch 345 kV Station and Load</t>
  </si>
  <si>
    <t>Construct a new 345 kV breaker-and-a-half substation on the 16THOMPS- 16PETE transmission line approximately 11 line-miles south of the IPL Thompson Substation. New customer will have distributed load off of 345 kV lines from new substation.</t>
  </si>
  <si>
    <t>A new customer has plans to construct a facility within Indianapolis Power &amp; Light's service territory, adjacent to the 345 kV Thompson-Petersburg transmission line.</t>
  </si>
  <si>
    <t>Hubbard - Spring Brook 69 kV (Y-168), Rebuild</t>
  </si>
  <si>
    <t>Renew approximately 4.4 miles of 69 kV monopole line due to Age and Condition.</t>
  </si>
  <si>
    <t>Concord - Crawfish River 138 kV (9043), Rebuild</t>
  </si>
  <si>
    <t>Renew 16 miles of line between Concord and Crawfish River due to Age and Condition</t>
  </si>
  <si>
    <t>Crawfish River - Jefferson 138 kV (6654), Rebuild</t>
  </si>
  <si>
    <t>Rebuild approximately 2 miles of line between Crawfish River and Jefferson due to Age and Condition.</t>
  </si>
  <si>
    <t>Jefferson - Fort Atkinson 138 kV (6631), Rebuild</t>
  </si>
  <si>
    <t>Rebuild 4.6 miles of line between Jefferson and Fort Atkinson due to Age and Condition.</t>
  </si>
  <si>
    <t>Forward Energy Center - Butternut 138 kV (33542), Partial Rebuild</t>
  </si>
  <si>
    <t>Rebuild 4 miles of line between Forward Energy Center and Butternut due to Age and Condition.</t>
  </si>
  <si>
    <t>South Fond du Lac - Forward Energy Center 138 kV (X-96), Rebuild</t>
  </si>
  <si>
    <t>Rebuild 4.7 miles of line between South Fond du Lac and Forward Energy Center due to Age and Condition.</t>
  </si>
  <si>
    <t>South Fond Du Lac - Str 127484 69 kV (Y-25), Partial Rebuild</t>
  </si>
  <si>
    <t>Rebuild approximately 7 miles of 69 kV monopole line between South Fond Du Lac and Str 127484 due to Age and Condition.</t>
  </si>
  <si>
    <t>Gwinn - Munising 69 kV (Autrain),  Partial Rebuild</t>
  </si>
  <si>
    <t>Rebuild approximately 8 miles of line between Gwinn and Munising due to Age and Condition.</t>
  </si>
  <si>
    <t>ENTERGY SERVICES, LLC.</t>
  </si>
  <si>
    <t>LA</t>
  </si>
  <si>
    <t>Mount Olive to Cargas 500 kV Project and Load Addition</t>
  </si>
  <si>
    <t>Construct a new ~47 mile Mt Olive to Cargas 500 kV line, including all required station equipment at remote ends.</t>
  </si>
  <si>
    <t>Entergy received a request from a customer increasing its contracted site load to a total of 3000 MWs in Holly Ridge, LA.  These facilities were identified as needed to maintain NERC compliance during Entergy’s studies.</t>
  </si>
  <si>
    <t>Morris St SS, DIC, Substation Rebuild</t>
  </si>
  <si>
    <t>Customer will rebuild substation with high side circuit breaker, new transformer, and 6-position distribution switchgear. ATC will breaker sectionalize the area.</t>
  </si>
  <si>
    <t>Load Interconnection</t>
  </si>
  <si>
    <t>ARKANSAS ELECTRIC COOPERATIVE CORPORATION AECT</t>
  </si>
  <si>
    <t>AR</t>
  </si>
  <si>
    <t>Southwest Arkansas 345 kV</t>
  </si>
  <si>
    <t>Phase 1: new 345 kV switching station to interconnect the El Dorado, AR to Sarepta, LA line, approximately 26 miles of new 345 kV transmission line, a new 345/115 kV transmission substation near the lithium load center to step voltage down to 115 kV, and multiple 115 kV transmission lines to connect 3-115 kV distribution substations. 
Phase 2: complete a 345 kV transmission loop by constructing approximately 32 miles of new 345 kV transmission line from the lithium load center to a new 345 kV switching station to interconnect near the Turk Power Plant.
Phase 3: interconnect the new 345 kV transmission line from Turk to the Fulton Power Plant by constructing 345 kV switching station and 345/115 kV transmission substation.</t>
  </si>
  <si>
    <t>Phase 1: This phase of the project allows the transmission capacity required for lithium mining/processing needs of lithium producers in the southwest Arkansas area.
Phase 2: This phase of the project ensures that future growth of the entire project and the Smackover Formation region in southwest Arkansas is supplied with reliable and uninterrupted power for lithium extraction.
Phase 3: This phase of the project allows for additional generation capacity to the regional footprint.</t>
  </si>
  <si>
    <t>Woodview Lane SS, DIC, New Substation</t>
  </si>
  <si>
    <t>Build a new sectionalizing substation with a 6 position breaker and half bus facility. Install 138 kV circuit breakers and rebuild double circuit 138 kV transmission line to extend to the new substation.</t>
  </si>
  <si>
    <t>GoodHue SS, DIC, New Substation</t>
  </si>
  <si>
    <t>Customer to build a new substation in Johnson Creek, with 2 transformers and 2 busses to shift load from Concord.  ATC to consider installing a 138 kV loop through straight bus with line breakers and bus-tie switches, with provisions for a future bus-tie breaker. ATC to extend double-circuit 138 kV from the Crawfish River – Concord 138 kV (9043) line to the new substation.</t>
  </si>
  <si>
    <t>MIDAMERICAN ENERGY CO. MEC</t>
  </si>
  <si>
    <t>IA</t>
  </si>
  <si>
    <t>East Kanesville 161 kV Substation &amp; 161 kV Lines</t>
  </si>
  <si>
    <t>Construct the new East Kanesville Substation.  The project will consist of bisecting the Quick-Sub 701 161 kV line and bringing two one span 161 kV lines into the new East Kanesville Substation, adding a new 161 kV line terminal at Overland Trail Substation and constructing a new 161 kV line from Overland Trail Substation to East Kanesville Substation.  The new East Kanesville Substation will also have a 161 kV, 25 MVAR capacitor bank.</t>
  </si>
  <si>
    <t>Serve load</t>
  </si>
  <si>
    <t>R1053 Oak Creek/Elm Road SS, Interconnection Facilities and Network Upgrades</t>
  </si>
  <si>
    <t>The R1053 Transmission Owner Interconnected Facilities consists of all necessary substation work associated with the R1053 Generator Lead Lines at the Oak Creek substation and Elm Road substation.</t>
  </si>
  <si>
    <t>Generation Interconnection Project</t>
  </si>
  <si>
    <t>R1040 Generator Replacement - TOIF</t>
  </si>
  <si>
    <t>Replace trainers at position RH32.</t>
  </si>
  <si>
    <t>Tariff Requirement under GIA. R1040 is a generator interconnection replacement request for a 749 MW battery storage facility. R1040 will replace the Campbell Unit 3, utilizing the same POI location. These facilities are TOIF. TOIF is not eligible for reimbursement.</t>
  </si>
  <si>
    <t>Cortland 120 kV Station Expansion</t>
  </si>
  <si>
    <t>Build new 120 kV nine breaker modified breaker and a half station to connect to existing DTE Cortland. Install new control house. Re-terminate existing Cortland-Warren/ Midtown/Caniff UG circuits to new station. Connect three new circuits to DTE’s Cortland station. Remove major ITC equipment at existing Cortland station.</t>
  </si>
  <si>
    <t>To facilitate a DTE interconnection request regarding DTE transformer replacements.</t>
  </si>
  <si>
    <t>CITIZENS ELECTRIC CORPORATION 1</t>
  </si>
  <si>
    <t>New Leemon 69 KV substation for load addition</t>
  </si>
  <si>
    <t>CEC proposes building a new 10/14 MVA 69-12.47kV distribution substation to address load growth in the Fruitland, MO area. This new substation will connect into the existing TOT-Neely-Fruitland 69 kV T21 transmission line in a network fashion. Minor rerouting of the existing transmission line will be required to accommodate the cut-in. This project is essential to address rapid load growth in the Fruitland, Missouri area and to maintain system reliability.</t>
  </si>
  <si>
    <t>The Fruitland area is currently served by the Neely and Fruitland substations, both of which are nearing capacity due to accelerated residential and commercial development. Despite recent distribution system improvements, the existing infrastructure can no longer support projected load growth. The Leemon Substation will provide critical relief and improve operational flexibility.
The project is not expected to significantly impact the upstream 69 kV source (Trail of Tears B151 circuit), which currently feeds both existing substations.</t>
  </si>
  <si>
    <t>AMEREN TRANSMISSION COMPANY OF ILLINOIS</t>
  </si>
  <si>
    <t>New RECC Load Addition at Mogul 345 kV substation (Phase 2)</t>
  </si>
  <si>
    <t>Add position at Mogul 345 kV for 300 MW load addition</t>
  </si>
  <si>
    <t>Customer load addition</t>
  </si>
  <si>
    <t>New Load Addition at Austin 345 kV substation</t>
  </si>
  <si>
    <t>Add 2 positions at Austin 345 kV substation to accommodate customer load addition</t>
  </si>
  <si>
    <t>New Load Addition at New Elkhorn 345 kV substation (Elkhorn Phase 2)</t>
  </si>
  <si>
    <t>Construct a new 345 kV substation, 12 position ultimate BAAH bus arrangement for the connection of 1000 MW load addition. Construct 3.25 miles 345 kV double circuit line from Lumberjack to split Odyssey-Montgomery 345 kV line.</t>
  </si>
  <si>
    <t>New Load Addition at New Yoshi 345 kV substation</t>
  </si>
  <si>
    <t>Construct a new 345 kV substation, 12 position ultimate BAAH bus arrangement for the connection of 400 MW load addition. Construct 20 miles 345 kV double circuit line between Lumberjack/Project Elkhorn substations and Project Yoshi. Construct 10 miles 345 kV line between Scarlet and Project Yoshi.</t>
  </si>
  <si>
    <t>Nelson Dewey SS 161kV, 161/138kV Transformer Addition</t>
  </si>
  <si>
    <t>Add second 161/138kV transformer to Nelson Dewey for congestion mitigation, and operational flexibility. This will relieve renewable curtailment and increase transfer capability between Iowa and Wisconsin.</t>
  </si>
  <si>
    <t>Economic</t>
  </si>
  <si>
    <t>Indian Bayou 230 kV Station</t>
  </si>
  <si>
    <t>Entergy is proposing to construct a new 230 kV station named Indian Bayou to serve a new customer cut into the existing Gillis to Goos Ferry 230 kV line in Ragley, LA.
The Indian Bayou 230 kV station will be a breaker and a half substation.</t>
  </si>
  <si>
    <t>Entergy received a request from a customer adding new load near Ragley, LA.  This facility was identified as needed due to the load growth.</t>
  </si>
  <si>
    <t>New Montgomery 345 kV Temporary Tap (Elkhorn Phase 1)</t>
  </si>
  <si>
    <t>Construct temporary taps on Montgomery-Lumberjack 345 kV lines to serve 250 (+42) MW of customer load. This is temporary until the new Project Elkhorn 345 kV BAAH substation can be built.</t>
  </si>
  <si>
    <t>Customer request</t>
  </si>
  <si>
    <t>New Elkhorn 280 MVAR Cap Bank</t>
  </si>
  <si>
    <t>Add 280 MVAR Cap Bank at Project Elkhorn</t>
  </si>
  <si>
    <t>Voltage support due to increased load</t>
  </si>
  <si>
    <t>Juban Trails (DEMCO) 230 kV Station</t>
  </si>
  <si>
    <t>Entergy wholesale customer DEMCO is proposing to construct a new 230 kV station named Juban Trails to serve a new customer cut into the existing Coly to Vignes 230 kV line in Livingston Parish LA.  Three Capacitor banks will be installed at the Juban Trails 230 kV station.</t>
  </si>
  <si>
    <t>Entergy received a request from DEMCO adding new load in Livingston Parish, LA.  This facility was identified as needed due to the load growth.</t>
  </si>
  <si>
    <t>Physical Security Program 2026 Asset Renewal</t>
  </si>
  <si>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2026.</t>
  </si>
  <si>
    <t>Physical Security</t>
  </si>
  <si>
    <t>1803 ELECTRIC COOPERATIVE, INC. LATO</t>
  </si>
  <si>
    <t>1803 - 2025 Age and Condition Program</t>
  </si>
  <si>
    <t>The 1803 Age and Condition Program prioritizes replacing aged and/or degraded transmission substation assets prioritized on equipment condition assessments. This project covers the execution of this program in 2025 to replace aging equipment such as: arrestors, breakers, switches, motor operated switches, current transformers, potential transformers, communication equipment, protective relays, battery banks, or battery chargers.</t>
  </si>
  <si>
    <t>1803 Electric Cooperative, Inc was approved as a MISO TO on June 12, 2025.  This EPR request is for the evaluation of a 2026 MTEP “Other - Age and Condition” project for work to be performed during calendar year 2025. Due to expected lead times of BES equipment 1803 requests approval of this project ahead of the MTEP26 cycle.</t>
  </si>
  <si>
    <t>SAM HOUSTON ELECTRIC COOPERATIVE, INC.SHTO</t>
  </si>
  <si>
    <t>TX</t>
  </si>
  <si>
    <t>New Sub 138kV Sub Fish Lake</t>
  </si>
  <si>
    <t>The current distribution system is energized by a 230 kV/69 kV substation situated at Sour Lake Substation, within the Midcontinent Independent System Operator (MISO) region. The existing distribution system will connect to a new 138kV substation (Fish Lake) by tapping the Cypress (#334319)-Rye (#334194) transmission line, which is located approximately 16.5 miles north of Sour Lake Substation.</t>
  </si>
  <si>
    <t>The reason for this system change is because SHECO has had this load involuntarily disconnected by their Transmission Operator several times without notice or warning. This is a reliability issue for customers who are fed off the Sour Lake Substation. We've provided metrics to show the outages.</t>
  </si>
  <si>
    <t>Replace Nucor Steel 345 kV CBs and Relays</t>
  </si>
  <si>
    <t>Nucor Steel 345kV Circuit Breaker and Relay Replacements: Relays - 34502, 34526, Bus 1 and 2; CBs - 34501-­B2, 345B2-­26, 34526-­B1, and 345B1-­01</t>
  </si>
  <si>
    <t>The assets being addressed in this project fall under one or more of the system programs as outlined in TDSIC Plan filed with the Indiana Utility Regulatory Commission.</t>
  </si>
  <si>
    <t>New Prescott 345/69 kV Bank 2 addition</t>
  </si>
  <si>
    <t>Prescott 345/69kV Bank 2 addition - 150 MVA with LTC; Relocate 69183 line terminal; expand existing 69 ring bus to 5 position ring bus (sixth open position for future expansion); 4th breaker in the 345 kV ring bus has already been constructed</t>
  </si>
  <si>
    <t>Preparation for medium to large load(s) additions in the Shelbyville area; new bank will also serve as an energized, in-service, system spare</t>
  </si>
  <si>
    <t>North Mendota SS, DIC, New Substation</t>
  </si>
  <si>
    <t>To support a new distribution substation, ATC will build a new 138kV breaker-and-a-half substation called North Mendota and tie into the existing 138 kV line X-87. ATC will install two 16.3 MVAR Capacitor Banks, with one off of each end bus, build new 138kV breaker-and-a-half rung at North Madison, reterminate North Madison Lines such that no two North Madison – North Mendota Lines share a rung, and build 2 new 138 kV lines double circuit from North Madison SS to the new North Mendota substation.</t>
  </si>
  <si>
    <t>Rest Lake - Presque Isle Upgrades</t>
  </si>
  <si>
    <t>Build new Chain of Lakes 34.5kV substation to replace end of life Rest Lake substation. Build new Boot Lake substation to accommodate local load growth at Presque Isle. Build new 34.5kV line from Chain of Lakes to Boot Lake.</t>
  </si>
  <si>
    <t>End of life and load growth exceeding capability of existing distribution substations requires construction of new substations with a new 34.5kV line connecting them to mitigate contingency risk to load.</t>
  </si>
  <si>
    <t>Magazine – Portage St., New 69 kV Line</t>
  </si>
  <si>
    <t>Construct a new 69 kV line from Magazine to Portage St due to local needs.</t>
  </si>
  <si>
    <t>Uprate Sunnyside Autotransformer 345/138/34.5 kV</t>
  </si>
  <si>
    <t>Due to FAC-008 Facility Rating Methodology, Sunnyside Autotransformer was derated to SN/SE 478 MVA. This project contains the scope necessary to return Sunnyside Autotransformer to SN 500 MVA, SE 600 MVA - allows use of operational guide 2008-S-011-C-IPL-Auto_Transformers-345_138rev1.</t>
  </si>
  <si>
    <t>IPL Antioch and Whispering Pines EPR N-1 thermally overloaded the facility rated at 478 MVA, no greater than 575 MVA.</t>
  </si>
  <si>
    <t>Babbitt 115kV Project</t>
  </si>
  <si>
    <t>Rebuild existing 115kV line from Embarrass to North Shore Mine
Rebuild existing 115kV Babbitt Tap line
New 115kV from Mesaba Junction to North Shore Mine to Babbitt
Expansion of Mesaba Junction Switching Station and Babbitt Substation</t>
  </si>
  <si>
    <t>Age and condition rebuilds and add redundancy for Minnesota Power customers</t>
  </si>
  <si>
    <t>Western UP Reliability Project</t>
  </si>
  <si>
    <t>Rebuild the Conover – Mass 69 kV line (6530) and Mass – Winona 69 kV line (Mass) to double circuit 138/69 kV from Lakota Rd to Winona due to reliability.</t>
  </si>
  <si>
    <t>Baseline Reliability</t>
  </si>
  <si>
    <t>New Big Hollow CTG Energy Center interconnection (R1057)</t>
  </si>
  <si>
    <t>The Big Hollow Energy Center is an ~800 MW gas combustion turbine site that is owned and operated by Ameren Missouri. This was studied as a replacement project R1057</t>
  </si>
  <si>
    <t>New Big Hollow BESS Energy Center Connection (R1058)</t>
  </si>
  <si>
    <t>The Big Hollow Energy Center BESS is an ~400 MW battery energy storage system that is owned and operated by Ameren Missouri. This was studied as a replacement project R1058</t>
  </si>
  <si>
    <t>Rebuild Moro-Laclede NTP 478 MVA MPFCA 138 kV Line</t>
  </si>
  <si>
    <t>This project will rebuild the Moro-Laclede NTP section of Wood River-Moro 138 kV by reconductoring and rebuilding 7.8 miles of the Wood River-Moro 138 kV line, increasing its capacity to 478 MVA, and raising five structures on the Moro-Roxford 345 kV line to accommodate new 138 kV double-circuit lines.</t>
  </si>
  <si>
    <t>Generator interconnection</t>
  </si>
  <si>
    <t>New Four Creeks Wind (J2275) Wells 345 kV Ring Bus Switching Station</t>
  </si>
  <si>
    <t>Construct a new 3-Position 345 kV switching station to be called Wells to serve as the Point of Interconnection for Four Creeks Wind LLC under GIA J2275.</t>
  </si>
  <si>
    <t>ITC MIDWEST</t>
  </si>
  <si>
    <t>Linn County 620 MW Load Addition</t>
  </si>
  <si>
    <t>Central Iowa Power Cooperative (CIPCO) on behalf of its member Linn County Rural Electric Cooperative (Linn County REC) has requested to interconnect a new 620 MW load that will be served from the Duane Arnold Energy Center (DAEC) 161 kV bus via four new radial 161 kV lines that will be owned and operated by CIPCO.  To accommodate the requested load interconnection, ITC Midwest will expand the 161 kV bus at DAEC to provide 4 additional 161 kV bus positions.</t>
  </si>
  <si>
    <t>To accommodate the requested load interconnection, 4 new 161 kV bus positions need to be added on the DAEC 161 kV bus to facilitate interconnection of the 4 new CIPCO radial 161 kV lines to the new load.  No other upgrades were identified as being required to support the requested load interconnection.</t>
  </si>
  <si>
    <t>New Macon County Solar Plainview 161 kV Ring Bus (J2050)</t>
  </si>
  <si>
    <t>Construct a new six-terminal 161 kV ring bus design with three terminal positions installed to serve as the Point of Interconnection for Macon County Solar under GIA J2050. Station name is Plainview.</t>
  </si>
  <si>
    <t>Transmission Line Pole Replacement 2027</t>
  </si>
  <si>
    <t>Hillman - Falcon - Darlington 138 kV (X-14/X-101), Double Circuit Rebuild</t>
  </si>
  <si>
    <t>Rebuild X-14 and X-101 as 138 kV double circuits, creating a new Hillman - Darlington 138 kV line.</t>
  </si>
  <si>
    <t>Riddle 230 kV Station and Line Upgrade</t>
  </si>
  <si>
    <t>Entergy is proposing to construct a new 230 kV station named Riddle to serve a new customer cut into the existing Fancy Point to Ventress 230 kV line near Saint Francisville, LA.
The Riddle 230 kV station will be a breaker and a half substation. The new station has a target ISD in June 2026.
The need to reconductor the Fancy Point to Riddle 230 kV line was also identified to serve this load.</t>
  </si>
  <si>
    <t>Entergy received a request from a customer adding new load near St Francisville, LA.  These facilities were identified as needed due to the load growth.
P1 Loss of Mcknight – Coly 500 kV line causes a thermal overload on the Fancy Point – Riddle 230 kV line.</t>
  </si>
  <si>
    <t>West Glencoe</t>
  </si>
  <si>
    <t>Add new Glencoe Light &amp; Power (GLP) substation to serve a 40 MW load. The new substation will tap the existing McLeod-Armstrong 115kv line. Add 40 MVAr of capacitance to address N-1-1 low voltage concerns.</t>
  </si>
  <si>
    <t>This project is needed due to a new load that has a proposed in-service date of Spring of 2026. GLP determined that, due to the size and location of the new load, a new substation needs to be built.  Studies determined the need for additional capacitance.</t>
  </si>
  <si>
    <t>Replace Guion South 345/138/13.75 kV Autotransformer</t>
  </si>
  <si>
    <t>Guion South autotransformer has failed asset management tests, and was removed from operational service. This project replaces the autotransformer to restore to service.</t>
  </si>
  <si>
    <t>MTEP26 EPR results indicate overloading on autotransformer.</t>
  </si>
  <si>
    <t>Expand Blue Bluff 138 kV switchyard</t>
  </si>
  <si>
    <t>Expand currently planned 345 kV switchyard near Eagle Valley Power Plant to include a 138 kV yard and interconnection local 138 kV transmission</t>
  </si>
  <si>
    <t>IPL EPR TPL mitigations</t>
  </si>
  <si>
    <t>New Project Point 345 kV BAAH substation</t>
  </si>
  <si>
    <t>Construct a new 8 position, 345kV BAAH switching station south of Joachim substation and route the following 2 345kV lines into this new switching station: Rush Island-Joachim-2 and Rush Island-Tyson-5668. Reconductor the following 3 138kV lines to 2000A: Boyd Branch-Saint Francois-1, Joachim-Boyd Branch-1, Joachim-Saint Francois-2. Reconductor Rush Island-Joachim 345 kV.</t>
  </si>
  <si>
    <t>New Ralston 138 kV Delivery Point</t>
  </si>
  <si>
    <t>Expand Ralston substation to include distribution delivery point.</t>
  </si>
  <si>
    <t>Local area load relief.</t>
  </si>
  <si>
    <t>EAST TEXAS ELECTRIC COOPERATIVE, INC.ETCT</t>
  </si>
  <si>
    <t>JNEC- Kirbyville to Entergy-Fawil 138kV Project</t>
  </si>
  <si>
    <t>This project was created to address a TPL-001-5.1 violation for P6/N-1 events. ETEC/JNEC will build a new 12.61 mile 138kV transmission line from Entergy's 138kV Fawil substation to Jasper Newton's (JNEC) 138kV Kirbyville substation. We will reconfigure the Kirbyville substation into a four-breaker ring bus substation to accommodate the new 138kV line. Entergy will have substation upgrades at Fawil as well.</t>
  </si>
  <si>
    <t>To alleviate low voltages (below 0.9pu) between Buna and Millcreek on JNEC system when a P6/N-1-1 contingency event was simulated for the loss of Evadale(EES) to Buna 138 kV and Sam Rayburn to Mill Creek 138 kV stations in a peak model.</t>
  </si>
  <si>
    <t>Uprate Guion to Whitestown 345 kV-09</t>
  </si>
  <si>
    <t>Replace IPL equipment at Guion and Whitestown to achieve a 1526 MVA winter rating</t>
  </si>
  <si>
    <t>IPL EPR Antioch and Whispering Pines</t>
  </si>
  <si>
    <t>Repair Wittenberg 138 kV Switching Station Access Road</t>
  </si>
  <si>
    <t>Due to unforeseen site conditions, the existing access road into the Wittenberg Switching Station has experience a severe slope failure resulting in limited accessibility to the substation. CEC proposes making temporary repairs to keep the existing road in a condition to allow emergency access. CEC also proposes permanent repairs. CEC is working with technical experts to determine the most appropriate and cost effect permanent repair. This will consist of either repairing the existing access road or constructing a new access road in a different location. Cost and feasibility of repairs will be the major decision components for selecting the final repair method.</t>
  </si>
  <si>
    <t>The Wittenberg Substation is an existing 138 kV switchyard and is only accessible from the existing access road. Due to the need to maintain access to the substation for routine maintenance, field switching activities, and emergency situations. The temporary road repairs will address the immediate safety issues to allow the required access in the short term, while a permanent road repair is required to sustain this access for the long term. This project will not result in any modifications to the electrical infrastructure located at and around the Wittenberg Switching Station.</t>
  </si>
  <si>
    <t>Remediate Grand Tower 138 kV Foundation Erosion</t>
  </si>
  <si>
    <t>CEC proposes civil and structure analysis along with mitigation repairs to address soil erosion issues at an existing lattice tower structure. This structure supports the existing Grand Tower to Wittenberg 138 kV line as the line crosses the Mississippi River near the Grand Tower substation. Due to higher-than-normal river levels recently, CEC noted erosion activities around the foundations of the existing lattice tower. CEC is working with technical experts to determine the most appropriate and cost effect permanent repair. Cost and feasibility of repairs will be the major decision components for selecting the final repair method.</t>
  </si>
  <si>
    <t>Due to the potential reliability and safety impacts, CEC needs to complete an assessment and make necessary repairs to ensure the foundations can properly support the existing lattice tower. This project will not result in any modifications to the existing configuration of the line.</t>
  </si>
  <si>
    <t>PRAIRIE POWER, INC. PPI</t>
  </si>
  <si>
    <t>Upgrade Disco 138/69 kV Transformer</t>
  </si>
  <si>
    <t>Upgrade Disco Transformer from 25 MVA to 37.3 MVA</t>
  </si>
  <si>
    <t>P6 contingency 69 kV thermal overloading issues</t>
  </si>
  <si>
    <t>New Rock Creek 69 kV Capacitor Bank</t>
  </si>
  <si>
    <t>New Rock Creek Capacitor Bank 4.8 MVAR</t>
  </si>
  <si>
    <t>P6 contingency 69 kV voltage issues</t>
  </si>
  <si>
    <t>Rebuild Allen Tap-Allen 69 kV Line</t>
  </si>
  <si>
    <t>Rebuild existing Allen Tap-Allen 69 kV Line with 556 ACSR</t>
  </si>
  <si>
    <t>Increase line capacity and reduce voltage drop</t>
  </si>
  <si>
    <t>New Quaker 69 kV Breaker Station</t>
  </si>
  <si>
    <t>New Quaker 69 kV Breaker Station south of Ipava</t>
  </si>
  <si>
    <t>Prevents relay coordination issues for 3-terminal line. Sectionalizes lines to Macomb, Rushville, and Smithfield Distribution.</t>
  </si>
  <si>
    <t>Rebuild Kampsville-Carrollton 69 kV Line</t>
  </si>
  <si>
    <t>Rebuild Kampsville-Carrollton 69 kV Line with 336 ACSR</t>
  </si>
  <si>
    <t>P6 contingency 69 kV thermal overloading issues; also needed due to age and condition</t>
  </si>
  <si>
    <t>New Smithfield 69 kV Breaker Station</t>
  </si>
  <si>
    <t>1) New Smithfield 69 kV Breaker Station
2) New Smithfield 69 kV Capacitor Bank</t>
  </si>
  <si>
    <t>Prevents relay coordination issues for 3-terminal line. Sectionalizes lines to Babylon, St. David. and Smithfield Distribution.</t>
  </si>
  <si>
    <t>New Hopewell 138/69 kV Substation and Lines</t>
  </si>
  <si>
    <t>1) New Ameren Tie-Hopewell 138 kV Line with 795 ACSR
2) Hopewell 138/69 kV Substation located North of Carrollton, IL 
3) New Hopewell 138/69 kV Transformer Rated 84 MVA
4) Rebuild Hopewell-Walkerville 69 kV Line with 336 ACSR</t>
  </si>
  <si>
    <t>P6 contingency 69 kV voltage issues with the future additional load</t>
  </si>
  <si>
    <t>Rebuild Pearl Tap-Smith Jct. W. 69 kV Line</t>
  </si>
  <si>
    <t>Rebuild Pearl Tap-Smith Jct. W. 69 kV Line with 336 ACSR Includes 0.6 miles of DC with the future Atlas-Pearl prj</t>
  </si>
  <si>
    <t>Age and Condition. Built in 1966</t>
  </si>
  <si>
    <t>Rebuild Pearl Tap-Pearl 69 kV Line</t>
  </si>
  <si>
    <t>Rebuild Pearl Tap-Pearl 69 kV Line with 336 ACSR</t>
  </si>
  <si>
    <t>Age and Condition. Built in 1977</t>
  </si>
  <si>
    <t>Rebuild Barry-E. Hannibal 69 kV Line</t>
  </si>
  <si>
    <t>Rebuild Barry-E. Hannibal 69 kV Line with 336 ACSR</t>
  </si>
  <si>
    <t>Age and Condition. Built in 1967</t>
  </si>
  <si>
    <t>Rebuild Winchester-Wolf Run 69 kV Line</t>
  </si>
  <si>
    <t>Rebuild Winchester-Wolf Run 69 kV Line with 336 ACSR</t>
  </si>
  <si>
    <t>New Atlas-Pearl 69 kV Line</t>
  </si>
  <si>
    <t>1) New El Dara Breaker 69 kV Station
2) Add Pearl 69 kV breaker
3) New Pearl-Atlas 69 kV Line with 336 ACSR
4) New Pearl Plant-Pearl Tap 69 kV Line DC with 336 ACSR</t>
  </si>
  <si>
    <t>Removes New Canton, Atlas, and Pearl Distribution substations from radial feeds. Also provides an alternate network feed between the east and west sides of Illinois Electric Cooperative.</t>
  </si>
  <si>
    <t>Rebuild El Dara BKR-Atlas 69 kV Line</t>
  </si>
  <si>
    <t>Rebuild El Dara BKR-Atlas 69 kV Line with 336 ACSR</t>
  </si>
  <si>
    <t>Age and Condition. Built in 1974</t>
  </si>
  <si>
    <t>New Y58 Oak Grove - Gateway 69 kV Line</t>
  </si>
  <si>
    <t>Project is to build a new 2.9-mile 69 kV transmission line between Oak Grove Substation and Gateway Substation.  The new line will be constructed with monopole steel structures, 477 ACSR Hawk conductor, and will have OPGW shield wire for fiber communications.</t>
  </si>
  <si>
    <t>System reliability improvement in the area, specifically for the Gateway Hospital.</t>
  </si>
  <si>
    <t>Replace 138 kV Breakers at Northeast Substation</t>
  </si>
  <si>
    <t>Project is to replace existing 138kV breakers ‘2488’ &amp; ‘2199’ along with associated switches and jumpers.</t>
  </si>
  <si>
    <t>Replacement of aging infrastructure with new standard.</t>
  </si>
  <si>
    <t>Rebuild Y53 East Industrial - Heidelbach 69 kV Line</t>
  </si>
  <si>
    <t>Project is to replace existing wood poles and replace with monopole steel structures on the approximately 0.64 miles long line.  The existing 477 ACSR conductor and OPGW shield wire will be transferred to the new steel structures.</t>
  </si>
  <si>
    <t>The age and condition of this line require a structure rebuild.</t>
  </si>
  <si>
    <t>Mankato Area 115kV Rebuilds</t>
  </si>
  <si>
    <t>Upgrade 115kV line South Bend - Northport - Wilmarth. Upgrade 115kV line 5544, Wilmarth - Eastwood. Rebuild &amp; reconductoring to include OPGW installation.</t>
  </si>
  <si>
    <t>Addresses overloads showing up under sensitivity cases. Mitigates existing congestion issues on Wilmarth-Eastwood line.</t>
  </si>
  <si>
    <t>Yellow River Substation Rebuild</t>
  </si>
  <si>
    <t>Install a new Yellow River area two-transformer bank distribution substation and retire existing Yellow River sub</t>
  </si>
  <si>
    <t>Existing Yellow River substation is at end of life and needs substantial equipment replacement.</t>
  </si>
  <si>
    <t>Brainerd Cap Bank Replacement</t>
  </si>
  <si>
    <t>Replacement of the existing Brainerd capacitor bank.</t>
  </si>
  <si>
    <t>Age and condition replacement of the existing capacitor bank</t>
  </si>
  <si>
    <t>New Angel Mounds 69 kV Capacitor Bank</t>
  </si>
  <si>
    <t>Project is to install one (1) new 15.6 MVAR capacitor bank at the 69 kV bus, along with an associated 2000A switch and breaker.</t>
  </si>
  <si>
    <t>Local voltage support.</t>
  </si>
  <si>
    <t>Arden Hills - Lexington Rebuild</t>
  </si>
  <si>
    <t>Rebuild 0.85-miles of single-circuit 115kV Arden Hills - Lexington</t>
  </si>
  <si>
    <t>End of Life - Existing wood pole structures are 56 years old and are approaching end of useful service life</t>
  </si>
  <si>
    <t>Douglas County 115kV Cap Bank Replacement</t>
  </si>
  <si>
    <t>Upgrade the 115kV capacitor bank, breaker, and protection relaying at Douglas County</t>
  </si>
  <si>
    <t>The 115kV capacitor bank, breaker, and relaying are of obsolete design and are experiencing age and condition degradation.</t>
  </si>
  <si>
    <t>Koch Cap Bank Replacement</t>
  </si>
  <si>
    <t>Upgrade 115kV Cap bank, breaker, and protection relays at Koch substation due to end-of-life.</t>
  </si>
  <si>
    <t>The capacitor bank and breaker are highly utilized equipment. Due to their age and condition, it is recommended to replace to reduce failure concerns. The protection relying on the bank is also obsolete and needs to be upgraded to the current standard of protection</t>
  </si>
  <si>
    <t>New Stacer Road 138/12 kV Distribution Substation</t>
  </si>
  <si>
    <t>This project is to construct a new 138/12 kV distribution substation, located north of the existing Scott Substation.  This substation will be installed along the existing Z71 138 kV transmission line.</t>
  </si>
  <si>
    <t>Support local load growth.</t>
  </si>
  <si>
    <t>Lester Prairie Area Substation</t>
  </si>
  <si>
    <t>Retire existing Lester Prairie and Winsted distribution substations and build a new distribution substation around the Lester Prairie area.</t>
  </si>
  <si>
    <t>Winsted and Lester Prairie are starting to show signs of age-related degradation and do not have space to expand. The new substation will serve the existing load from both substations.</t>
  </si>
  <si>
    <t>Black Dog - Burnsville 115kV Rebuild</t>
  </si>
  <si>
    <t>End-of-life replacement (ELR) project to rebuild a 3.4-mile segment of 115kV Line Black Dog - Burnsville.</t>
  </si>
  <si>
    <t>End-of-life replacement (ELR) project to rebuild a 3.4-mile segment of 115kV Line between Black Dog to Riverwood to GRE Burnsville substations.  This project would also install OPGW fiber shield wire.</t>
  </si>
  <si>
    <t>New Old State 69/12 kV Distribution Substation</t>
  </si>
  <si>
    <t>This project is to construct a new 69/12 kV distribution substation, located on the existing Y74-1 69 kV transmission line.</t>
  </si>
  <si>
    <t>Support local load growth</t>
  </si>
  <si>
    <t>Maynard TR1 Replacement</t>
  </si>
  <si>
    <t>End-of-life project to replace the Maynard Transmission substation TR01 transformer</t>
  </si>
  <si>
    <t>End-of-life project to replace the Maynard Transmission substation TR01 transformer showing signs of degradation.</t>
  </si>
  <si>
    <t>Upgrade AB Brown 138 kV - Breaker Repl. - 63kA</t>
  </si>
  <si>
    <t>Install replacement/upgraded 138kV breakers.</t>
  </si>
  <si>
    <t>Increase interrupting capability of the 138kV switchyard.</t>
  </si>
  <si>
    <t>Rebuild Z85 Culley to Warrick North 138 kV Line</t>
  </si>
  <si>
    <t>Rebuild approx. 3.6 miles of 138kV transmission line.  The existing wood transmission structures will be replaced with steel monopole structures.  The existing 795 Drake ACSR conductor will be replaced with 954 Rail ACSR conductor.  This project also includes adding OPGW shield wire between Culley 138 kV Substation and Warrick North 138 kV Substation.</t>
  </si>
  <si>
    <t>Age and poor condition require structure replacements.  New upgraded conductor will increase the rating of the overall facility and confirm to present company standards.</t>
  </si>
  <si>
    <t>Rebuild Y65/66 69 kV Line</t>
  </si>
  <si>
    <t>Rebuild approx. 2.5 miles of double circuit 69kV transmission line along Covert Avenue.  Existing wood poles will be replaced with steel monopole structures.  Existing 477 ACSR conductor will be transferred to the new structures.</t>
  </si>
  <si>
    <t>Catawba Area Substation</t>
  </si>
  <si>
    <t>Install new Catawba area distribution substation to replace existing Catawba substation that is experiencing age and condition degradation.</t>
  </si>
  <si>
    <t>Existing Catawba substation is experience age and condition degradation and doesn't have space for expansion.</t>
  </si>
  <si>
    <t>DMAT North 345 kV Substation and line taps</t>
  </si>
  <si>
    <t>Construct new DMAT North 345 kV Substation and 345 kV line taps</t>
  </si>
  <si>
    <t>Serve large load customer</t>
  </si>
  <si>
    <t>HOOSIER ENERGY</t>
  </si>
  <si>
    <t>Uprate Merom to Worthington 345 kV Terminal</t>
  </si>
  <si>
    <t>Upgrade the Merom 345 kV terminal switches and wave traps to 3000A. This increases minimum rating from 1195 MVA to 1314 MVA. LRTP upgrades at Worthington will increase terminal rating to 3000A.</t>
  </si>
  <si>
    <t>P6 results of IPL Antioch and Whispering Pines EPRs and adjacent loads show thermal violation on Merom - Worthington 345 kV line. Line terminals must be upgraded to resolve overload.</t>
  </si>
  <si>
    <t>Clarinda 69 kV Terminal Upgrade</t>
  </si>
  <si>
    <t>Replace 69 kV line relaying and associated terminal equipment at Clarinda Substation on Villisca line terminal.</t>
  </si>
  <si>
    <t>CIPCO is planning to rebuild its Clarinda-Villisca 69 kV line and MidAmerican is upgrading its terminal at Clarinda Substation.</t>
  </si>
  <si>
    <t>Carroll South 69 kV Terminal Uprate</t>
  </si>
  <si>
    <t>Replace 69 kV breaker and associated terminal equipment at Carroll South Substation on Carroll County line terminal</t>
  </si>
  <si>
    <t>Line can overload following a P6 contingency at high wind conditions</t>
  </si>
  <si>
    <t>Norwalk-Winterset 161 kV Line Uprate</t>
  </si>
  <si>
    <t>Replace transmission line structures to increase 161 kV line rating.</t>
  </si>
  <si>
    <t>MTEP25 2030 generator deliverability analysis shows line overloads for P1 single contingencies.</t>
  </si>
  <si>
    <t>Eau Claire - Sterling 69kV structure replacement</t>
  </si>
  <si>
    <t>Replace seven (7) structures on the 0.4-mile long segment of 69kV Line Eau Claire - Madison near Eau Claire substation.</t>
  </si>
  <si>
    <t>Structures are 55-77 years old and are showing age and condition defects.</t>
  </si>
  <si>
    <t>Southtown Substation ELR Upgrade</t>
  </si>
  <si>
    <t>Replace TR03 - 115/13.8kV
Replace a total of 9 oil circuit breakers and associated protection relays 
Upgrade additional protection relaying for feeders
Replace all the feeder reactors
Rebuild the TR3 transformer containment wall.</t>
  </si>
  <si>
    <t>Substation equipment is at end of life and has reliability concerns.</t>
  </si>
  <si>
    <t>Rebuild Baxter-Warren 230kV Line</t>
  </si>
  <si>
    <t>Rebuild ~4 miles of 1431 ACSR conductor of Warren-Baxter 230kV line. Upgrade Warren station switches “CD” and “CH”. Upgrade BUS 1590 SAC and 1431 ACSR line drop at Warren station. Upgrade Baxter switch “HI” and 1431 ACSR line drop. All upgrades to a minimum SE of 955MVA (2399A)</t>
  </si>
  <si>
    <t>Baxter - Warren 230kV line is projected to become overload due to P6 contingency conditions. The overload identified is the 230kV line.</t>
  </si>
  <si>
    <t>Mondovi Substation</t>
  </si>
  <si>
    <t>Replacing the existing Naples substation with the new Mondovi substation.</t>
  </si>
  <si>
    <t>The Naples substation is over capacity and requires substation reconstruction. The project solves Naples' capacity, and brings the area to the NSPW 23.9kV standard, and mitigate risk on the Sumner substation.</t>
  </si>
  <si>
    <t>Rebuild Navarre-DBGEN Tap-Waterman 230kV Line</t>
  </si>
  <si>
    <t>Rebuild Navarre – DBGEN TAP – Waterman 230kV line. Rebuild with 230kV double circuit structure. Rebuild line drops at both Navarre and Waterman stations. All rebuild to a minimum SE of 1311MVA.</t>
  </si>
  <si>
    <t>Navarre-DBGEN Tap-Waterman 230kV line is projected to become overload due to P0, P11, P2, P3 and P6 contingency conditions. The overload identified is the 230kV line.</t>
  </si>
  <si>
    <t>Replace Waterman Transformer #201</t>
  </si>
  <si>
    <t>Replace the Waterman #201 230/120kV transformer with a standard transformer. Install a 63kA high side breaker “GB” and associated equipments.</t>
  </si>
  <si>
    <t>The Waterman 201 Transformer is reaching end of life and has been identified for replacement due to age and condition. The Waterman 201 Transformer is projected to become overload due to P2 and P6 contingency conditions. The overload identified is the CTs of the transformer. The transformer is limited by the CTs.</t>
  </si>
  <si>
    <t>Cashton Substation Rebuild</t>
  </si>
  <si>
    <t>Install new Cashton area distribution substation.</t>
  </si>
  <si>
    <t>New substation being built to replace existing Cashton substation that is showing age and condition signs of degradation and is unable to be expanded.</t>
  </si>
  <si>
    <t>Replace Wayne Transformer #304 345-230kV</t>
  </si>
  <si>
    <t>Replace the Wayne #304 345/230 kV transformer with a standard transformer.</t>
  </si>
  <si>
    <t>The Wayne 304 Transformer is reaching end of life and has been identified for replacement due to age and condition.</t>
  </si>
  <si>
    <t>Black Dog - Southtown 115kV Rebuild</t>
  </si>
  <si>
    <t>Rebuild a 6.8-mile segment of 115kV line between Black Dog to Cedarvale to Southtown substations.  This project would also install new OPGW fiber shield wire on a 7.8-mile segment of the line.</t>
  </si>
  <si>
    <t>Replace aging transmission line structures with decaying foundations in challenging river bottom terrain. Enhance infrastructure reliability, add fiber communication capabilities, and mitigate potential wildfire risks</t>
  </si>
  <si>
    <t>Wilmarth - Franklin 115kV Upgrade</t>
  </si>
  <si>
    <t>Rebuild up to 55.1-miles of 115kV Line 0837 between Wilmarth and Franklin substations</t>
  </si>
  <si>
    <t>Portions of the line are at end of life. Line frequently has congestion issues.</t>
  </si>
  <si>
    <t>New Jamestown East 69/12kV substation</t>
  </si>
  <si>
    <t>build new Jamestown East 69/12kV substation</t>
  </si>
  <si>
    <t>distribution load growth</t>
  </si>
  <si>
    <t>Replace Brownstown Transformer #302 345-230kV</t>
  </si>
  <si>
    <t>Replace the Brownstown #302 345/230 kV transformer with a standard transformer</t>
  </si>
  <si>
    <t>The Brownstown 302 Transformer is reaching end of life and has been identified for replacement due to age and condition.</t>
  </si>
  <si>
    <t>Decommission Trenton Channel East Mat</t>
  </si>
  <si>
    <t>ITCT to relocate all assets from TC east mat and decommission the east mat. ITCT to by-pass Horn-TC &amp; Brownstown-TC #3 120kV lines to form new Brownstown–Horn 120kV line. Re-terminate Brownstown–TC #2 120kV line from bus 1 to bus 14. ITCT to install a new breaker “KH” and disconnect switch. Replace 750 CU bus and switches associated with breaker “KP”. Remove the reactor connected to breaker “JS”. Replace bus and switch associated to breaker “JS”, relay to adjust the existing CT ratings from 2000/3000 to 3000/3000. Breaker “KP” &amp; “JS” should have a summer emergency rating of atleast 478MVA.</t>
  </si>
  <si>
    <t>The Trenton Channel Station is an early 1902’s vintage station. Much of the East Mat has already been abandoned relocating lines to the West Mat. The Trenton Channel Power Plant has recently been demolished. The existing East Mat has strain bus being held up by old cap and pin insulators along with the bus support foundations crumbling. The station high voltage electrical equipment has been in-service for several decades and has realized the end of its useful life.  This infrastructure is dated (requires the use of operating practices that do not employ the safety measure designed in modern equipment), a source of failure, emergency maintenance, and in need of a wholesale replacement.</t>
  </si>
  <si>
    <t>Rebuild HE Willard Green Jct to HE Rocklane Jct 69 kV line</t>
  </si>
  <si>
    <t>Rebuild HE Willard Green Jct-HE Rocklane Jct 69kV line</t>
  </si>
  <si>
    <t>Local planning criteria - non-transferred 69kV; 69165 breaker failure at Franklin 230 substation causes high line loading</t>
  </si>
  <si>
    <t>Rebuild Toll Road - Vital 120kV Line</t>
  </si>
  <si>
    <t>Rebuild approximately 10 miles of 477 ACSR conductor from Structure #7602A to structure #7526 to 954 ACSR. The rebuild will be 120kV construction using double-circuit structures with OPGW. Rebuild approximately 3 miles of 795 ACSR conductor from Seville Tap to Seville to 954 ACSR. The Seville Tap to Seville rebuild will be 120kV construction using single-circuit structures. MTEP# 50626 will rebuild the rest of the line from Grape- Toll RD Station.</t>
  </si>
  <si>
    <t>The Toll Rd-Vital 120kV circuit consists of (78) steel poles and (324) wood poles (40%) installed in the late 1990’s and (30%) installed in the 1950’s, the remaining of the poles were installed 1970-1990, which are nearing their end of life. 
In the last (7) years, this circuit has had a total of (2) outages. (1) momentary and (1) lockouts.  Due to operated pole top switches. 
There are currently (214) open exceptions on this line consisting of (urgent) wood pole replacement, leaning pole, guy wire replacement, damaged shield wire, insulator damage, broken insulator bonds and broken interrupters on PTS. 
 - (11) Urgent exceptions consisting of wood pole replacement, split cross arms, and detached static.
There are approximately (75) expectations on this line consisting of wood pole replacement due to resistograph fail, pole rotting, and wood packer damage. 
This line is one of the feeds to the Niles and Seville DTE stations. 
Due to the outage history, maintenance history and current maintenance issues on many of the wood poles on this line, ITCT is recommending a rebuild of the Toll Rd-Vital 120kV line.</t>
  </si>
  <si>
    <t>Rebuild Swan Creek - Toll Road 120kV Line</t>
  </si>
  <si>
    <t>Rebuild ~2.5 miles of 477 ACSR Swan Creek - Toll Road 120kV line from STR#1282A to STR#1263 with 954 ACSR conductor. Rebuild with 120kV double circuit structures.</t>
  </si>
  <si>
    <t>Swan Creek – Toll Road 120kV line is projected to become overload due to P3 and P6 contingency conditions. The overload identified is the 477 ACSR conductor of the 120kV line.</t>
  </si>
  <si>
    <t>Booneville: Retire 13 kV Reactors</t>
  </si>
  <si>
    <t>Retire the two 13.8 kV reactors at Booneville Substation</t>
  </si>
  <si>
    <t>Reactors are no longer needed or operable.</t>
  </si>
  <si>
    <t>Bird Island - Minnesota Valley 69kV Rebuild</t>
  </si>
  <si>
    <t>Rebuild up to 37-miles of 69kV line between Bird Island and Minnesota Valley substations.</t>
  </si>
  <si>
    <t>Age and condition replacement of structures and addition of OPGW to line.</t>
  </si>
  <si>
    <t>Upgrade Dorset - Milan 120kV Line</t>
  </si>
  <si>
    <t>Upgrade ~9 miles of 477 ACSR from STR#2148A to Dorset station. All upgrades to a minimum SE 275MVA (1326 A).</t>
  </si>
  <si>
    <t>Dorset – Milan 120kV line is projected to become overload due to P6 contingency condition. The overload identified is the 477 ACSR conductor of the 120kV line.</t>
  </si>
  <si>
    <t>Eau Claire - Truax 69kV Rebuild</t>
  </si>
  <si>
    <t>Rebuild a 1.5-mile segment of 69kV line between Eau Claire and Truax substations. Add OPGW to line.</t>
  </si>
  <si>
    <t>Age and condition rebuild of structures on 69kV line between Eau Clarie and Truax. Addition of OPGW to the line.</t>
  </si>
  <si>
    <t>Zumbrota Area Distribution Substation</t>
  </si>
  <si>
    <t>Install a new distribution substation near Zumbrota.</t>
  </si>
  <si>
    <t>Existing Zumbrota substation does not have the space for expansion to serve load growth in the area and a 69kV bus tie to split the lines that would be required for reliability.</t>
  </si>
  <si>
    <t>Upgrade Rockport Position 177 &amp; 188 138 kV Equipment</t>
  </si>
  <si>
    <t>Replace station equipment at Rockport positions 177 &amp; 188 with equipment rated at least 175 MVA.</t>
  </si>
  <si>
    <t>The Long Rapids - Rockport and Port Calcite - Rockport 138 kV circuits are projected to be overloaded on off-peak conditions for N-1 contingency conditions. The overloaded equipment identified on these circuits are the station equipment at Rockport, after other overhead line rebuild projects are taken into account.</t>
  </si>
  <si>
    <t>Upgrade Polaris-Diesel 120kV Line Drop</t>
  </si>
  <si>
    <t>Upgrade 954 ACSR line drop at Polaris station to 1431 ACSR conductor.</t>
  </si>
  <si>
    <t>Polaris – Diesel 120kV line is projected to become overload due to P6 contingency conditions. The overload identified is the 954 ACSR conductor at Polaris Station line entrance.</t>
  </si>
  <si>
    <t>Red Cedar - DC Redundancy</t>
  </si>
  <si>
    <t>Install a second battery at Red Cedar</t>
  </si>
  <si>
    <t>Needed to mitigate TPL-001-5 P5 contingency.</t>
  </si>
  <si>
    <t>Eau Claire - DC Redundancy</t>
  </si>
  <si>
    <t>Install battery monitoring and separate DC circuits in Eau Claire Substation</t>
  </si>
  <si>
    <t>Mitigate TPL-001-5 P5 contingency</t>
  </si>
  <si>
    <t>Stone Lake - DC Redundancy</t>
  </si>
  <si>
    <t>Install second battery at Stone Lake substation. Split Primary and Secondary DC circuits.</t>
  </si>
  <si>
    <t>Mitigate TPL-001-5 P5 contingency.</t>
  </si>
  <si>
    <t>Tremval - DC Redundancy</t>
  </si>
  <si>
    <t>Install additional DC panel, separate DC circuits and install battery monitoring at Tremval substation.</t>
  </si>
  <si>
    <t>Long Lake - DC Redundancy</t>
  </si>
  <si>
    <t>Expand EEE and install second battery at Long Lake</t>
  </si>
  <si>
    <t>Gleason Lake - DC Redundancy</t>
  </si>
  <si>
    <t>Install second battery at Gleason Lake substation.</t>
  </si>
  <si>
    <t>Fort Ridgely - DC Redundancy</t>
  </si>
  <si>
    <t>Install additional DC Panels to separate DC circuits, install battery monitoring at Fort Ridgely.</t>
  </si>
  <si>
    <t>Mitigate TPL-001-5 P5 contingencies.</t>
  </si>
  <si>
    <t>Eliminate Sag and Upgrade YOST-POLARIS-DIESEL 120kV Lines</t>
  </si>
  <si>
    <t>Upgrade both 954 ACSR conductors from STR#5643 to Polaris station with 1431 ACSR conductor. Upgrade 954 ACSR conductor from STR#5652A to Yost station with 1431 ACSR conductor. Eliminate the sag limit on Yost-Polaris line 477 ACSRx2 conductor section. All upgrades to a minimum SE of 348MVA (1679A).</t>
  </si>
  <si>
    <t>Polaris – Yost 120kV line is projected to become overload due to P6 contingency conditions. The overload identified is the 954 ACSR conductor at both Yost &amp; Polaris Station line entrances and 477 ACSRx2 Conductor Sag limit. Polaris – Diesel 120kV line is projected to become overload due to P6 contingency conditions. The overload identified is the 954 ACSR conductor at Polaris Station line entrance.</t>
  </si>
  <si>
    <t>Eastwood - DC Redundancy</t>
  </si>
  <si>
    <t>Install second battery at Eastwood substation.</t>
  </si>
  <si>
    <t>Rebuild Bloomfield - Sunbird 120 kV</t>
  </si>
  <si>
    <t>ITCT will rebuild approximately 7 miles of the Bloomfield-Sunbird 120kV circuit from sections Tienken – Mountain (~5.4 miles) and Colorado – Sunbird (~1.17 miles) with 954 ACSR capable of 120 kV double circuit standards with OPGW.</t>
  </si>
  <si>
    <t>Existing age and condition of this 120 kV line is driving the need for this rebuild.</t>
  </si>
  <si>
    <t>Colvill - DC Redundancy</t>
  </si>
  <si>
    <t>Install additional DC panel, separate DC circuits, install battery monitoring for Colvill substation.</t>
  </si>
  <si>
    <t>Cherry Creek - DC Redundancy</t>
  </si>
  <si>
    <t>Split primary and secondary DC circuits, install second battery at Cherry Creek substation.</t>
  </si>
  <si>
    <t>Lake Yankton - DC Redundancy</t>
  </si>
  <si>
    <t>Reconfigure EEE and install second battery.</t>
  </si>
  <si>
    <t>Willmar - Litchfield - Forest City - Hutchinson Rebuild and 115 kV Conversion</t>
  </si>
  <si>
    <t>Rebuild existing 69 kV transmission lines between the existing substations of Willmar, Litchfield and Hutchinson to a 115 kV standard for a future 115 kV operation. In addition, build a new 115 kV line from Litchfield to the Stockade distribution substation and a new 115 kV breaker station, Forest City, at the current Stockade tap switch point. Existing lines and infrastructure are owned by GRE, SMMPA, Litchfield Municipal, and Hutchinson Municipal. This project will be carried out jointly by these parties.</t>
  </si>
  <si>
    <t>The lines between Willmar, Litchfield and Hutchinson have a need to be rebuilt due to age and condition concerns. These lines are some of the oldest 69 kV transmission lines in the area. The line rebuild projects will be done in such a way that it makes the load serving transmission system more resilient, creates opportunities for increased penetration of large loads and renewable resources, and solves existing or future reliability concerns in the transmission system.</t>
  </si>
  <si>
    <t>Wilmarth - DC Redundancy</t>
  </si>
  <si>
    <t>Install second battery at Wilmarth substation.</t>
  </si>
  <si>
    <t>Medford Area Projects</t>
  </si>
  <si>
    <t>Construct a 161 kV tap line from SMMPA’s West Owatonna–South Faribault 161 kV transmission line to the high side of the Medford distribution substation, which will be constructed and owned by Steele-Waseca Electric Cooperative (SWEC).</t>
  </si>
  <si>
    <t>This project is needed to interconnect SWEC’s Medford distribution substation. SWEC plans to construct the Medford distribution substation to address critical challenges—including voltage drop issues, feeder overloads, limited feeder redundancy, and aging equipment. This   project is designed to strengthen system reliability, enhance operational flexibility, and improve overall power quality.</t>
  </si>
  <si>
    <t>Boulder Lake 115 kV Project</t>
  </si>
  <si>
    <t>This project will build a 4.7-mile, 115 kV tap line to interconnect the Boulder Lake substation which will utilize a 10 MVA transformer.</t>
  </si>
  <si>
    <t>This project is needed to alleviate transformer loading at Itasca-Mantrap’s Nevis, Long Lake, and Mantrap distribution substations. By establishing a new distribution substation, the project will support reliable service for growing load demands and enhance operational flexibility in the area.</t>
  </si>
  <si>
    <t>Pillsbury Area Projects</t>
  </si>
  <si>
    <t>The Pillsbury Project will build a 2.0-mile, 115 kV tap line to interconnect the existing Stearns Electric Association (SEA) Pillsbury distribution substation to the MP-owned 41 Line.</t>
  </si>
  <si>
    <t>SEA plans to rebuild the Pillsbury Distribution Substation as an end-of-life replacement. While the primary goal is to address aging infrastructure and condition concerns, the project also presents an opportunity to enhance service reliability by upgrading from 34.5kV to 115kV. Transitioning to the 115kV system will support long-term reliable service, improve operational resilience, and provide capacity for future growth at the Pillsbury Distribution Substation</t>
  </si>
  <si>
    <t>Nobles - DC Redundancy</t>
  </si>
  <si>
    <t>Install second battery at Nobles substation.</t>
  </si>
  <si>
    <t>SD</t>
  </si>
  <si>
    <t>Grant - Mitchell 115kV Rebuild</t>
  </si>
  <si>
    <t>Rebuild 24.0-mile long single-circuit 115kV line between Grant substation and NWPS Interconnect (Mitchell).</t>
  </si>
  <si>
    <t>Age and condition rebuild of structures.</t>
  </si>
  <si>
    <t>Cherry Creek - Grant 115kV Rebuild</t>
  </si>
  <si>
    <t>Rebuild of the 23.8-mile long single-circuit 115kV Line between Cherry Creek and Grant substations.</t>
  </si>
  <si>
    <t>Blue Lake TR1 Replacement</t>
  </si>
  <si>
    <t>Replace Blue Lake 115kV/13.8kV TR1.</t>
  </si>
  <si>
    <t>Age and Condition replacement.</t>
  </si>
  <si>
    <t>IL; MO</t>
  </si>
  <si>
    <t>Replace Breakers and Relays Program - MTEP26</t>
  </si>
  <si>
    <t>Miscellaneous breaker and relay replacements requested by maintenance. Missouri and Illinois.</t>
  </si>
  <si>
    <t>Age and condition. Increased reliability.</t>
  </si>
  <si>
    <t>Replace Pole and Insulator Program - MTEP26</t>
  </si>
  <si>
    <t>Miscellaneous replacements requested by maintenance. Missouri and Illinois.</t>
  </si>
  <si>
    <t>Upgrade Saunders 345/69kV substation (Phase 2)</t>
  </si>
  <si>
    <t>Add second 345/69 kV transformer and required substation equipment for Mt. Pleasant Municipal Utilities. This project completes the loop initiated in MTEP22 project 18063.</t>
  </si>
  <si>
    <t>New CADC 138 kV Ring bus</t>
  </si>
  <si>
    <t>Construct a new 138 kV ring bus for the connection of Project CADC 90 MW load addition</t>
  </si>
  <si>
    <t>Upgrade Calhoun - Stable 138 kV line</t>
  </si>
  <si>
    <t>Upgrade ~2 miles of 336 ACSR 26/7 from Stable to structure 074B1350 with a minimum summer emergency of 234 MVA (979 A).</t>
  </si>
  <si>
    <t>Calhoun - Stable 138 kV line is projected to become overload due to P6 contingency in METC 2025 internal assessment.</t>
  </si>
  <si>
    <t>New 120 kV Substation - Conner Load Interconnection</t>
  </si>
  <si>
    <t>New load interconnection project to serve DTE's new load near Detroit area. ITCT to construct a new 120 KV substation, tentatively named Conner, and cut the existing Mack - Voyager 120 kV line in.</t>
  </si>
  <si>
    <t>DTE requested a new interconnection to ITCT's Mack-Voyager 120 kV line to serve its new load near the Detroit area.</t>
  </si>
  <si>
    <t>Replace Marshall 138 kV Aging Infrastructure</t>
  </si>
  <si>
    <t>Replace aging infrastructure and add high side breakers.</t>
  </si>
  <si>
    <t>Aging infrastructure and increased reliability</t>
  </si>
  <si>
    <t>Install New St.Antoine - Waterman 120kV Circuit</t>
  </si>
  <si>
    <t>Construct ~5 miles of new St. Antoine - Waterman 120kV underground line utilizing 2500mm² CU cable. Expand both St. Antoine and Waterman stations. Upgrade BUS 500 CU at Alfred line terminal “HA” and section breaker “HG”.</t>
  </si>
  <si>
    <t>This is an alternative for Cato - Waterman 120kV Rebuild (MTEP#21745) and Corktown - Waterman 120 kV Rebuild (MTEP#17999). This project also mitigates Cato-Stone Pool and Corktown-St. Antoine 120kV lines overload issues.</t>
  </si>
  <si>
    <t>ENTERGY ARKANSAS, LLC EATO</t>
  </si>
  <si>
    <t>Couch - Lewisville 115kV Uprate</t>
  </si>
  <si>
    <t>Replace 13 structures on the Couch - Lewisville line to mitigate clearance violations to achieve 100 degree conductor rating.</t>
  </si>
  <si>
    <t>Uprate is needed for compliance with NERC TPL 001-5.</t>
  </si>
  <si>
    <t>Frazier Pike 115kV Add Breakers and Capacitor Banks</t>
  </si>
  <si>
    <t>Install transmission line breakers and 2 – 40.7 MVAR capacitor banks at the Frazier Pike 115 kV substation tapped on the LR 145th – LR Port 115 kV line section.</t>
  </si>
  <si>
    <t>Additional Load Serving Capability (55 MVA at 0.90 pf) and reliability with Entergy’s HV &amp; EHV Substations Layout criteria (SL050303).</t>
  </si>
  <si>
    <t>2027 EAL Asset Renewal Program</t>
  </si>
  <si>
    <t>The asset renewal programs replace aged and/or degraded transmission line and transmission substation assets. Entergy continuously reviews asset health to prioritize those replacements and the specifics for the 2027 asset renewal plans have not yet been finalized.</t>
  </si>
  <si>
    <t>Needed for Age and Condition</t>
  </si>
  <si>
    <t>Remediate Sag on Chopin - White Rd - Aphis 138 kV</t>
  </si>
  <si>
    <t>Eliminate sag on the Chopin-White Rd-Aphis (previously Cobb-White Rd-Aphis) 138 kV section to conductor limit of 291 MVA (summer emergency rating).</t>
  </si>
  <si>
    <t>The Aphis - White Road and White Road - Chopin 138 kV lines are projected to overload in 2030 and 2035 cases in METC's 2025 assessment for P6 and P71 contingencies. MISO MTEP25 - D6 study also projected these 138 kV sections to be overloaded.</t>
  </si>
  <si>
    <t>Galla Creek 161kV: Build new substation</t>
  </si>
  <si>
    <t>Install a new 161/13.8kV substation with one 40 MVA LTC transformer on the Atkins - Russellville Industrial 161kV line section.</t>
  </si>
  <si>
    <t>The existing Atkins 161kV substation is projected to be overloaded by 2029.</t>
  </si>
  <si>
    <t>Remediate Sag on Delhi - Green 138 kV</t>
  </si>
  <si>
    <t>Remediate the sag on the Delhi - Green 138 kV circuit to meet 336 ACSR X2 conductor limit of 325 MVA for summer emergency.</t>
  </si>
  <si>
    <t>Delhi - Green 138 kV circuit is projected to overload in 2030 cases for P6 and P71 contingencies. The overload as identified in METC's 2025 assessment.</t>
  </si>
  <si>
    <t>Remediate Sag on College - Green 138 kV</t>
  </si>
  <si>
    <t>Remediate the sag on the College - Green 138 kV circuit to meet 336 ACSR X2 conductor limit of 325 MVA for summer emergency.</t>
  </si>
  <si>
    <t>College - Green 138 kV circuit is projected to overload in 2030 for P6 contingencies.  The overload is identified in METC's 2025 assessment.</t>
  </si>
  <si>
    <t>Replace Franklin 230 kV sub 69 kV Breaker and Relay</t>
  </si>
  <si>
    <t>Franklin 230 sub 69kV Breaker (6 - 6948, 6997, 69159, 6969, 69230-1, 69230-2); Relay Replacements; new control bldg.</t>
  </si>
  <si>
    <t>The assets being addressed in this project fall under one or more of the system programs as outlined in TDSIC Plan filed with and approved by the Indiana Utility Regulatory Commission.</t>
  </si>
  <si>
    <t>Upgrade Columbus Denois Crk 230 kV Ring Bus</t>
  </si>
  <si>
    <t>Columbus Denois Crk 230kV 4-Breaker Ring Bus and misc. 69kV upgrades</t>
  </si>
  <si>
    <t>Relace Spencer 230 kV substation Relay</t>
  </si>
  <si>
    <t>Spencer 230 sub Relay Replacements - 230kV and 69kV; replace RTU; misc. equipment upgrades</t>
  </si>
  <si>
    <t>Rebuild Deedsville 69 kV to Wabash West Jct 69 kV line - 6925 ckt.</t>
  </si>
  <si>
    <t>Rebuild Deedsville 69 to Wabash West Jct 69kV - 6925 ckt.</t>
  </si>
  <si>
    <t>Asset Management-Reliability Programs: Line equipment reliability degradation due to age</t>
  </si>
  <si>
    <t>Rebuild Wabash 138 kV to Lagro Jct 69 kV line - 6921 ckt.</t>
  </si>
  <si>
    <t>Rebuild Wabash 138 to Lagro Jct 69kV line - 6921 ckt.</t>
  </si>
  <si>
    <t>Rebuild Bringhurst to Deer Creek Jct 69 kV line - 6988 ckt.</t>
  </si>
  <si>
    <t>Rebuild Bringhurst to Deer Creek Jct 69kV line - 6988 ckt.</t>
  </si>
  <si>
    <t>Rebuild Battle Ground to TETC Jct 69 kV line - 61888 ckt.</t>
  </si>
  <si>
    <t>Rebuild Battle Ground to TETC Jct 69kV line - 61888 ckt.</t>
  </si>
  <si>
    <t>Rebuild Tab Jct to Marshfield 69 kV line - 6936 ckt.</t>
  </si>
  <si>
    <t>Rebuild Tab Jct to Marshfield 69kV line - 6936 ckt.</t>
  </si>
  <si>
    <t>Relocate Garfield substation</t>
  </si>
  <si>
    <t>This project will construct the line modifications required to route lines into the new Garfield substation.
No material changes to current topology.</t>
  </si>
  <si>
    <t>Relocated Garfield Distribution Station</t>
  </si>
  <si>
    <t>Brinkley East 230/115kV Transformer Upgrade</t>
  </si>
  <si>
    <t>Upgrade the Brinkley East 230/115kV transformer to achieve a rating of 430 MVA.</t>
  </si>
  <si>
    <t>A market participant has submitted a project request to MISO in order to mitigate constraints they are projecting to occur on their solar project.</t>
  </si>
  <si>
    <t>MPFP</t>
  </si>
  <si>
    <t>Relocate Petoskey substation</t>
  </si>
  <si>
    <t>This project will construct the line modifications required to route lines into the new Petoskey substation and replace high-side bus. This relocation is on the existing line and a neighboring site. No material changes to current topology.</t>
  </si>
  <si>
    <t>Relocated Petoskey Distribution Station.</t>
  </si>
  <si>
    <t>Rebuild Cedar Springs to Pierson Junction 69 kV line to 138 kV capability</t>
  </si>
  <si>
    <t>Rebuild and upgrade 24.13 miles of 69 kV line to 138 kV using Wolverine’s construction standards. Line to be built with steel structures.</t>
  </si>
  <si>
    <t>The line experiences excessive loading (118%) under the P6 contingency in future MTEP cases.</t>
  </si>
  <si>
    <t>Rebuild Grawn - Lake Ann 69 kV line to 138 kV capability</t>
  </si>
  <si>
    <t>Rebuild and upgrade 12.48 miles of 69 kv line to 138 kv using Wolverine’s construction standards. This line will be built with steel structures.</t>
  </si>
  <si>
    <t>Condition Based 
     Age: 53-year-old line originally built in 1972
     Poles: 0 rushed, 8 condemned, 2 damaged, (6% in need of replacement)
     Conductor: 4/0 ACSR</t>
  </si>
  <si>
    <t>Rebuild Fountain Tap 69 kV Radial to 138 kV capability</t>
  </si>
  <si>
    <t>Rebuild and upgrade 5.88 miles of 69 kV line to 138 kV using Wolverine’s construction standards. Line to be built with steel structures.</t>
  </si>
  <si>
    <t>Condition Based Replacement
-Age: 58-year-old line originally built in 1967
-Poles: 0 rushed, 3 condemned, 43 damaged, 20 good poles (70% in need of replacement)
-Conductor: 3/0 ACSR
-Shield Wire: 3/8”</t>
  </si>
  <si>
    <t>Rebuild Weare - Crystal Valley Junction 69 kV line to 138 kV capability</t>
  </si>
  <si>
    <t>Rebuild and upgrade 4.75 miles of Weare - Crystal Valley Junction 69 kV line to 138 kV using Wolverine’s construction standards. Line to be built with steel structures.</t>
  </si>
  <si>
    <t>Condition Based - Replace aging infrastructure
-Age: 47-year-old line originally built in 1978
-Poles: 0 rushed, 2 condemned, 0 damaged, 56 good poles (3% in need of replacement)
-Conductor: 4/0 ACSR
-Shield Wire: 3/8”</t>
  </si>
  <si>
    <t>Rebuild Riverton Tap 69 kV Radial to 138 kV capability</t>
  </si>
  <si>
    <t>Rebuild and upgrade 6.33 miles of 69 kV line to 138 kV using Wolverine’s construction standards. Line to be built with steel structures.</t>
  </si>
  <si>
    <t>Condition Based Replacement
-Age: 39-year-old line originally built in 1986
-Poles: 0 rushed, 2 condemned, 15 damaged, 70 good poles (20% in need of replacement)
-Conductor: 4/0 ACSR
-Shield Wire: 3/8”</t>
  </si>
  <si>
    <t>Rebuild Victory - Victory Junction 69 kV line to 138 kV capability</t>
  </si>
  <si>
    <t>Rebuild and upgrade 4.95 miles of Victory - Victory Junction 69 kV line to 138 kV using Wolverine’s construction standards. Line to be built with steel structures.</t>
  </si>
  <si>
    <t>Condition Based Replacement
-Multiple line operations in the past year
-Age: 73-year-old line originally built in 1952
-Poles: 0 rushed, 2 condemned, 3 damaged, 54 good poles (8% in need of replacement)
-Conductor: 4/0 ACSR
-Shield Wire: 7#9 Alumoweld</t>
  </si>
  <si>
    <t>Rebuild Stevenson Tap 69 kV Radial to 138 kV capability</t>
  </si>
  <si>
    <t>Rebuild and upgrade 11.39 miles of 69 kV line to 138 kV using Wolverine’s construction standards. Line to be built with steel structures.</t>
  </si>
  <si>
    <t>Condition Based Replacement
-Age: 48-year-old line originally built in 1977
-Poles: 0 rushed, 3 condemned, 27 damaged, 113 good poles (21% in need of replacement)
-Conductor: 4/0 ACSR
-Shield Wire: 3/8"</t>
  </si>
  <si>
    <t>Reconfigure Atlanta substation</t>
  </si>
  <si>
    <t>This project will construct the line modifications required to route lines into the new Atlanta substation. No material changes to current topology.</t>
  </si>
  <si>
    <t>Relocated Atlanta Distribution Station.</t>
  </si>
  <si>
    <t>Nelson Lake 230 kV interconnections</t>
  </si>
  <si>
    <t>Re-route of GRE’s 230 kV SHN line to interconnect to the new MP Lake Nelson sub located NW of the existing Square Butte Sub.</t>
  </si>
  <si>
    <t>MP is relocating their DC terminal from the Square Butte substation as part of its refurbishment project.  The MP system is connected to a non-MISO (MPC) facility that results in pancaked tariffs.  MP desires to be connected to MISO AC facility, of which GRE’s line is the most feasible to connect to.</t>
  </si>
  <si>
    <t>Franklin to Redwood Rebuild Part 1</t>
  </si>
  <si>
    <t>Rebuild 2.4 miles of the 69-kV RE-FR line from Str. 160 to Str 199. This section crosses the Minnesota River.</t>
  </si>
  <si>
    <t>The line is targeted to be replaced due to age and condition. 
Xcel will be constructing a 345-kv line through this area and aligning construction schedule will prove GRE efficiencies.</t>
  </si>
  <si>
    <t>Franklin to Redwood Rebuild Part 2</t>
  </si>
  <si>
    <t>Rebuild RE-FR line from the existing Redwood substation to Xcel ownership at structure 199/Xcel #191. Line length is approx. 12.5 miles. Possible rebuild and change in ownership from Xcel #191 to Xcel #231. Line length is approx. 1.6 miles.
Rebuild RE-RET line from SS2696 to Redwood substation. Line length is two short spans.</t>
  </si>
  <si>
    <t>The line is targeted to be replaced due to age and condition.</t>
  </si>
  <si>
    <t>Circle Lake to Faribault Line Rebuild Projects</t>
  </si>
  <si>
    <t>Rebuild SW-FC line from Circle Lake sub to Faribault sub. Segment 1. Line length is approx. 7 miles.
Rebuild SW-FAT line Segment 2. Line length is approx. 0.03 miles.</t>
  </si>
  <si>
    <t>Sleepy Eye tap Line rebuild Projects</t>
  </si>
  <si>
    <t>Rebuild BR-SL line. Line length is approx. 3 miles. 
Rebuild BR-SLT line. Line length is approx. 0.04 miles.</t>
  </si>
  <si>
    <t>ENTERGY MISSISSIPPI, LLC. EMTO</t>
  </si>
  <si>
    <t>2027 EML Asset Renewal Program</t>
  </si>
  <si>
    <t>This project is for the EML Asset Renewal Program that will be executed in 2027.</t>
  </si>
  <si>
    <t>Address aging and failing equipment such as structures, breakers, relay panels, RTU's, arresters, circuit switchers, etc.</t>
  </si>
  <si>
    <t>S. Grenada - Elliott 115kV Line Rebuild</t>
  </si>
  <si>
    <t>Rebuild S. Grenada - Elliot 115 kV line.</t>
  </si>
  <si>
    <t>Loss of the Batesville (TVA) 161kV bus causes thermal overload of S Grenada – Elliott SS 115kV line.</t>
  </si>
  <si>
    <t>2027 ELL Asset Renewal</t>
  </si>
  <si>
    <t>This project is for the ELL Asset Renewal Program that will be executed in 2027</t>
  </si>
  <si>
    <t>Address aging and failing equipment such as structures, breakers, relay panels, RTU's, arresters, circuit switchers, etc</t>
  </si>
  <si>
    <t>Deerfield 230kV: Build New Sub</t>
  </si>
  <si>
    <t>New 230 kV distribution substation on Yandell Rd - Endris 230 kV.</t>
  </si>
  <si>
    <t>Area load growth/distribution need.</t>
  </si>
  <si>
    <t>2027 Entergy New Orleans Asset Renewal</t>
  </si>
  <si>
    <t>This project is for the ENOL Asset Renewal Program that will be executed in 2027</t>
  </si>
  <si>
    <t>2027 ETI Asset Renewal</t>
  </si>
  <si>
    <t>This project is for the ETI Asset Renewal Program that will be executed in 2027</t>
  </si>
  <si>
    <t>Paulson area projects</t>
  </si>
  <si>
    <t>Connexus Energy (CE) has requested electric service to a new delivery point, to be named Paulson.  The interconnection will be made at Thompson Lake via three way switch.</t>
  </si>
  <si>
    <t>Member Requested Distribution Substation</t>
  </si>
  <si>
    <t>Carlyss 230 kV SPOF</t>
  </si>
  <si>
    <t>Install a second battery bank at Carlyss 230 kV station. The primary 1 relay needs to be on a separate DC panel than primary 2/backup relay. The breakers for the AT must have trip coil #1 and trip coil #2 fed from separate DC panels and the DC panels must be fed from separate battery sets. The DC panels cannot be wired in series or in parallel to one another.</t>
  </si>
  <si>
    <t>NERC TPL-001 Reliability Standards and Entergy’s Planning Guidelines. P5 non-redundant bus differential relay failure on the Carlyss 230 kV bus will cause thermal overloads on the Sphere – Line 655 Tap and Mossville – Line 655 Tap 69 kV lines.</t>
  </si>
  <si>
    <t>Benton County 230 kV Breaker Replacement</t>
  </si>
  <si>
    <t>Benton County procure breakers 41RB4, 5, 6, and 9 for future replacement project.</t>
  </si>
  <si>
    <t>Breakers are 42 year old McGraw oil breakers with OA4 mechanisms which are known to have slow first trip issues. Due to environmental concerns of oil containment we need to start the process of replacing oil breakers at Benton County to prevent the need of installing new oil containment around these old breakers. GRE has production slots available with MEPPI that need to be used before August 2024. Uncertainty in lead times makes an early material purchase necessary.</t>
  </si>
  <si>
    <t>Carlyss 230-138 kV Autotransformer Upgrade</t>
  </si>
  <si>
    <t>Upgrade Carlyss 230/138 kV Autotransformer</t>
  </si>
  <si>
    <t>NERC TPL-001 Reliability Standards and Entergy’s Planning Guidelines. P3 for the loss of LCPS and the Nelson 230/138 kV AT causes a thermal overload of the Carlyss 230/138 kV AT</t>
  </si>
  <si>
    <t>Coly 500 kV GIS Bus replacement</t>
  </si>
  <si>
    <t>Replace current obsolete 500 kV GIS with new GIS.</t>
  </si>
  <si>
    <t>NERC TPL-001-5 Reliability Standards and Entergy's Planning Guidelines and Criteria. Following the loss of equipment that was determined to potentially be unavailable for one year or more, the Spare Equipment analysis (TPL-001-5 R2.1.5) revealed violations that could not be mitigated by redispatch or reconfigure.  Most overloads are associated with loss of sections involving Coly to McKnight.</t>
  </si>
  <si>
    <t>Peary Area Rebuild Projects</t>
  </si>
  <si>
    <t>1. Lake Country Power plans to build a new Peary substation adjacent to the existing Peary substation.  The existing Peary substation will stay in service while the construction of the new Peary substation takes place.  LCP plans to buy a 7.5/10.5 MVA transformer for the new Peary substation.  LCP will back feed the Peary load via Lakeland A and Iron substations and can be done during May through September.
2. GRE to coordinate with Lake Country Power to take outages and cut over the new Peary substation to the 16L line.  GRE will have to augment the existing tap to complete the interconnection.
3. Install / upgrade (if needed) a metering package</t>
  </si>
  <si>
    <t>Lake Country Power’s Peary substation is old and needs a rebuild.</t>
  </si>
  <si>
    <t>Jaguar 230 kV GIS Replacement</t>
  </si>
  <si>
    <t>Replace current obsolete GIS bus with an open air 230 kV bus.
Ensure the following scope is addressed to mitigate P5 contingency:
•	Install a second battery bank at Jaguar 230 kV station
•	The primary 1 relay needs to be on a separate DC panel than primary 2/backup relay
•	The breakers for the AT must have trip coil #1 and trip coil #2 fed from separate DC panels and the DC panels must be fed from separate battery sets
The DC panels cannot be wired in series or in parallel to one another.  Additional scope to ensure redundancy of the relays and its components will be identified by relay design.</t>
  </si>
  <si>
    <t>NERC TPL-001-5 Reliability Standards and Entergy's Planning Guidelines and Criteria. Following the loss of equipment that was determined to potentially be unavailable for one year or more, the Spare Equipment analysis (TPL-001-5 R2.1.5) revealed violations that could not be mitigated by redispatch or reconfigure.  Most overloads are associated with loss of sections involving Jaguar 230-69 kV AT1/2, Jaguar to Coly, or Jaguar to Enjay 230 kV lines. Additionally, a P5 non-redundant bus differential relay failure on the Jaguar 230 kV bus will cause thermal overloads on the Blount – Hoechst and Hoechst – Port Hudson 69 kV lines.</t>
  </si>
  <si>
    <t>McKnight 500 kV GIS Replacement</t>
  </si>
  <si>
    <t>Replace current obsolete GIS bus with an open air 500 kV bus.</t>
  </si>
  <si>
    <t>NERC TPL-001-5 Reliability Standards and Entergy's Planning Guidelines and Criteria. Following the loss of equipment that was determined to potentially be unavailable for one year or more, the Spare Equipment analysis (TPL-001-5 R2.1.5) revealed violations that could not be mitigated by redispatch or reconfigure.  Most overloads are associated with loss of sections involving McKnight to Coly 500 kV and Franklin to McKnight 500 kV lines.</t>
  </si>
  <si>
    <t>Foley Sub Area Projects</t>
  </si>
  <si>
    <t>This project proposes to replace the Mayhew switches (SS280) with a three-position 69 kV breaker station, including any associated line work to reroute the existing lines into the new substation.   It also allows for changing the system normally open point from Duelm Tap 120NSM2 switch to Briggs Lake CBS1 switch to reduce exposure.  The land purchase and substation design should include the potential for adding future shunt capacitors.  
This project coordinates with the Northland Reliability Project-funded Briggs Lake switch replacement and SCADA-control addition.</t>
  </si>
  <si>
    <t>A NERC Category P23 (stuck breaker) contingency of the 41RB7 breaker will clear both Benton County 230/69 kV TR13, the Benton County-Milaca 230 kV line, and open-end both the Benton County-Milaca 69 kV line and Benton County-Liberty 69 kV line at Benton County.  This removes both 230 kV sources into the area 69 kV load pocket and makes the 69 kV circuits radially fed, which can cause voltages to approach or exceed limits.  The breaker station will allow the Liberty substation to support the load pocket for this contingency. 
Loss of the Benton County end of the Benton County-Milaca 69 kV line requires specific reconfiguration to minimize the flicker impact of motors starting at ECE’s Pipeline 2 substation while minimizing Delivery Point exposure.  The breaker station will reduce or eliminate this concern. 
Historical momentary and sustained reliability of the Benton County-Milaca 69 kV line has been poor.   
The reliability risk grade for this circuit is an "F" which is an indication that analysis should be done for enhanced sectionalizing. Enhanced sectionalizing can be achieved by adding motors to switches so they can be operated remotely and/or by adding reclosers or breaker stations. 
The reliability grade for this circuit is a "D" which is an indication that analysis should be done to improve reliability. Frequency of outages is driving the poor grade. A breaker station will reduce the frequency of the substation outages by sectionalizing total exposure and load served. 
This circuit has a summer MW-mile value of 1048 and a winter value of 1136, which, while not extreme, are higher than most circuits.  Adding the breaker station will reduce the exposure to the area East Central Energy (ECE) Delivery Points.</t>
  </si>
  <si>
    <t>Holiday to Billeaud 69 kV Upgrade</t>
  </si>
  <si>
    <t>Upgrade Holiday to Billeaud 69 kV line.</t>
  </si>
  <si>
    <t>NERC TPL-001 Reliability Standards and Entergy’s Planning Guidelines. P2.4 for the loss of Moril 138 kV substation causes a thermal violation on the Billeaud – Holiday 69 kV line</t>
  </si>
  <si>
    <t>Kingston Substation Interconnection</t>
  </si>
  <si>
    <t>IPL has notified ITC that they will be constructing a new Kingston Substation which will ultimately replace their existing Harrison substation. The new substation will initially connect at 34.5 kV and then be converted to 69 kV as part of the Emerald Isle to Beverly 69 kV conversion. ITC will install two 69 kV busses with two line breakers and a bus tie breaker on the 69kV portion of the new Kingston station. New line taps for Kingston substation to be constructed with T2-4/0 ACSR conductor.</t>
  </si>
  <si>
    <t>The Kingston Substation is needed to reliably serve the newly approved Cedar Crossing Casino and Entertainment Center.</t>
  </si>
  <si>
    <t>SLEMCO Dassas (Scott Area) 138 kV Station</t>
  </si>
  <si>
    <t>New 138 kV substation cut into the Scott to Judice 138 kV line, including breakers.</t>
  </si>
  <si>
    <t>SLEMCO has requested a new delivery point due to residential/commercial load growth near Scott, LA.</t>
  </si>
  <si>
    <t>Sterlington 500 kV GIS Replacement</t>
  </si>
  <si>
    <t>Replace the Sterlington 500 kV GIS with open air station.</t>
  </si>
  <si>
    <t>NERC TPL-001-5 Reliability Standards and Entergy's Planning Guidelines and Criteria. Following the loss of equipment that was determined to potentially be unavailable for one year or more, the Spare Equipment analysis (TPL-001-5 R2.1.5) revealed violations that could not be mitigated by redispatch or reconfigure.
•	Sterlington Bus tie section of bus failure
-Sterlington 500-115 kV Auto 3 FTLO Sterlington to Cargas 500 kV Ckt 1 or Cargas 500 kV Breaker Failure (Mt Olive to Cargas, Sterlington to Cargas)
•	Sterlington to Ouachita 500 kV bus section failure
-Beaver Creek 138-115 kV Auto for a bus fault at Montgomery 230 kV (2030W)
•	Sterlington to Cargas 500 kV bus section failure
-Walnut Grove to Sterlington 115 kV Ckt 1 or 2(2030W) for a breaker failure at Cargas (Mt Olive to Cargas, Sterlington to Cargas)
-Sterlington 500-115 kV AT1 for Sterlington breaker failure (Sterlington 500-115 kV AT3, Sterlington to Cargas Ckt2
-Sterlington 500-115 kV AT2 for Sterlington Breaker failure (Sterlington 500-115 kV AT1, Sterlington 500 kV bus tie)
-Sterlington to Drew 115 kV for Sterlington Breaker failure (Sterlington 500-115 kV AT1, Sterlington 500 kV bus tie)
•	Sterlington 500-115 kV AT2 bus failure
-Minden to Sarepta for Mt Olive breaker failure (Mt Olive 500-230 kV, Mt Olive to Layfield) (2030W)</t>
  </si>
  <si>
    <t>Thibodaux 230 kV Reactive Support</t>
  </si>
  <si>
    <t>Install a 61.1 MVAR Capacitor bank at Thibodaux 230 kV station</t>
  </si>
  <si>
    <t>NERC TPL-001 Reliability Standards and Entergy’s Planning Guidelines. P6 for the loss of Terrebonne-Schriever and Vacherie-Waterford 230 kV lines causes voltage violations at J1542, Thibodaux, Schriever, and Chackbay 230 kV stations</t>
  </si>
  <si>
    <t>Tiger 230 kV SPOF</t>
  </si>
  <si>
    <t>Install a second battery bank at Tiger 230 kV station. The primary 1 relay needs to be on a separate DC panel than primary 2/backup relay. The breakers for the AT must have trip coil #1 and trip coil #2 fed from separate DC panels and the DC panels must be fed from separate battery sets. The DC panels cannot be wired in series or in parallel to one another.</t>
  </si>
  <si>
    <t>NERC TPL-001 Reliability Standards and Entergy’s Planning Guidelines. P5 non-redundant bus differential relay failure on the Tiger 230 kV bus will cause thermal overloads on the Essen Tap – Westdale, Essen Tap – Tiger, Westdale – East, East – Belfair, Belfair – Northdale, Northdale – Capitol, Capitol – LA Station North, Jefferson – Drusilla, and Drusilla – Harelson 69 kV lines. Also, this contingency will cause voltage violations at the Broussard, Julia, and Beauregard 69 kV substations.</t>
  </si>
  <si>
    <t>Hazleton 69kV Capacitor Addition</t>
  </si>
  <si>
    <t>Add two banks of capacitor banks to the 69kV portion of Hazelton Substation. Both banks of capacitors are to be each rated at 11.2 MVAR Effective.</t>
  </si>
  <si>
    <t>The justification of this project is to address low voltages seen on the 69kV system under a P24 contingency at Hazelton 161 kV.</t>
  </si>
  <si>
    <t>Conroe 230 kV Autotransformer and Line Rebuild</t>
  </si>
  <si>
    <t>Construct 230 kV Conroe station near the existing Conroe 138 kV station.  Cut in the Lewis Creek to Porter 230 kV line.  Rebuild the Conroe to Ponderosa 138 kV line to 230 kV specifications and terminate in the new Conroe 230 kV station.</t>
  </si>
  <si>
    <t>NERC TPL-001 and Entergy Local Planning Guidelines and Criteria. P2.1 loss of Lewis Creek to Egypt overloads the Lewis Creek to Conroe 138 kV. The P1.2 loss of Lewis Creek to Alden or Longmire 138 kV lines or the P2.3 breaker failures at Lewis Creek or Porter substations cause the overload of the Caney Creek to Commerce 138 kV line.</t>
  </si>
  <si>
    <t>Traer Transformer Replacement</t>
  </si>
  <si>
    <t>The T1 transformer will be replaced with a new 150 MVA 161/69 kV transformer with LTC. In addition, all 795 ACSR jumper on the low side will need to be replaced with 1590 AAC to allow full use of the 150 MVA transformer rating.</t>
  </si>
  <si>
    <t>The existing Traer T1 transformer is at the end of its useful life and in need of replacement.</t>
  </si>
  <si>
    <t>Springfield Load Addition</t>
  </si>
  <si>
    <t>Springfield Public Utilities has requested to interconnect a new substation and load addition to the ITC Midwest transmission system in the city of Springfield, MN.  To support system voltages in the area with the increased load, ITC Midwest will need to upgrade the existing 69 kV capacitor bank at the ITC Midwest owned Waterbury switching station. The upgraded 69 kV capacitor will have 2 stages of 11.2 MVAR (22.4 MVAR total).  ITC Midwest will also install new 69 kV main line switches to allow Springfield Public Utilities to connect a new Springfield Public Utilities owned 69 kV tap to their new substation.</t>
  </si>
  <si>
    <t>Interconnect new SPU owned substation and upgrade capacitor bank to support system voltages due to requested load interconnection</t>
  </si>
  <si>
    <t>Thompson Lake Area Projects</t>
  </si>
  <si>
    <t>Convert the existing Connexus’ Thompson Lake distribution substation from a single transformer arrangement to a double transformer arrangement using an in-and-out build out.  This in-and-out substation design should establish circuit breaker positions for both lines (to Liberty, to Remmele) and one bus tie.  Build in disconnect switches for the future breakers to minimize / avoid outages for future breaker installations. Remove 600-amp rated switches (EWS12, EWS13) and replace with 2000-amp equipment.</t>
  </si>
  <si>
    <t>Connexus will be installing a second transformer at the Thompson Lake distribution substation site.  The Liberty 271NB7 - Waco 274NB3 circuit currently has a peak load of 33.2 MW (summer peak) and since this load is along the Highway 10 corridor, we anticipate this load to grow faster than average resulting in 40 MW of load in 10 years.  There is a potential that we use the Thompson substation to continue a line to serve the Paulson substation.  Given the future state of four (Thompson Lake, Remmele, Big Lake and possibly Paulson) delivery points and current load level an in/out substation should be constructed at Thompson Lake.  Space should be available for two-line breakers and a bus tie breaker at the site.</t>
  </si>
  <si>
    <t>Dairyland to Summit Area Projects</t>
  </si>
  <si>
    <t>The Dairyland-Summit 69 kV Project includes:
1. Build a 19-mile, 477 ACSR, 69 kV line to connect the existing East Central Energy’s (ECE) Dairyland and ECE’s Summit substations.
2. Establish a new switch at ECE’s Summit substation with a 3-way, 2000-amp, full-load-break, motor operated 69 kV switch. 
3. Establish a new switch at ECE’s Dairyland substation with a 3-way, 2000-amp, full-load-break, motor operated 69 kV switch. 
4. Retire and remove SS-125 (Summit Tap) – FLB switch and motor operators may be able to be reused at another location. 
5. Remove the Fond Du Lac – Summit Tap “DF” 69 kV line (9.92 miles, 2/0 ACSR, 1965) (purple dashed line in graphic below).
6. Retire Fond Du Lac S24 (69/46 kV back-up source to Amnicon, Bardon, and Summit).</t>
  </si>
  <si>
    <t>This project will provide looped service to six ECE distribution substations which is needed based on exposure and need to be able to backfeed loads when the main source is lost.
The 69 kV Stinson area loads (Bardon, Amnicon, and Stinson) have a back up source (Fond Du Lac 46/69 kV) which relies on MP’s 46 kV system (23 Line) served between Bear Creek and Thomson H.E.  Minnesota Power has alluded to removing the 23 Line since it is very hard to maintain in the Jay Cooke State Park about 10 years ago and yet to move on the project.  After GRE removes its dependency from the 23 Line, MP can retire the line and GRE can retire Fond Du Lac (S24).
The Fond Du Lac – Summit Tap “DF” 69 kV line (9.92 miles, 2/0 ACSR, 1965) is nearing the end of life and will need rebuilding very soon.  The Dairyland – Summit 69 kV project will remove the dependency on this line and can avoid rebuilding the “DF” line.
The Frog Creek area loads (Wascott, Crystal Lake, and Dairyland) are served from a radial 69 kV system with slight back up from the Dahlberg system (SS-3115).  Connecting to the Dahlberg system has its issues and isn’t an ideal way to back up the Frog Creek area loads.  The Dairyland – Summit 69 kV line will allow for GRE to transfer loads between the Stinson and Frog Creek sources.
The radial MW-mile calculations are:
The threshold for needing to provide a redundant service is 100, so we aren’t justifying the southern end on radial MW-mile alone.  The justification for the project is more based on the avoidance of rebuilding the “DF” line and any future upgrades needed at Fond Du Lac and the looming retirement of the 23 line that sources Fond Du Lac.</t>
  </si>
  <si>
    <t>Lewis Creek to Lacon 138 kV Upgrade</t>
  </si>
  <si>
    <t>Rebuild Lewis Creek – Lacon 138 kV line.  Upgrade any associated station equipment.</t>
  </si>
  <si>
    <t>NERC TPL-001 and Entergy Local Planning Guidelines and Criteria. P2.3 internal breaker fault causes a thermal overload on the Lewis Creek to Lacon 138 kV line.</t>
  </si>
  <si>
    <t>May Switch Replacement</t>
  </si>
  <si>
    <t>Replace May switch SS2532 in conjunction with Xcel’s rebuild of their 0736 line.
A sister project to retire the Hugo tap switch SS2915 will also occur in conjunction with 0736 line rebuild</t>
  </si>
  <si>
    <t>From reliability assessment meeting with Connexus -  reliability issues related to the May substation noted. We should add motors and FCIs be coordinated with May project (Yewulsew).  
On the reliability team tracker, adding MODs to May listed as a potential 2027 project per reliability discussions with Connexus via Todd.This circuit is 40 miles long and serves one Connexus load and multiple Xcel loads.(Paul)</t>
  </si>
  <si>
    <t>Millbend 138 kV Capacitor Bank</t>
  </si>
  <si>
    <t>Install a Capacitor Bank at Millbend 138 kV Substation.</t>
  </si>
  <si>
    <t>NERC TPL-001 and Entergy Local Planning Guidelines and Criteria. P1.2 loss of Porter to Millbend 138 kV along with other contingencies involving the loss of Porter to Millbend 138 kV causes low voltage at Millbend 138 kV Station</t>
  </si>
  <si>
    <t>Neches to Viway 138 kV Station Equipment Upgrade</t>
  </si>
  <si>
    <t>Upgrade line bay risers at Viway 138 kV to a minimum of 920 amps.</t>
  </si>
  <si>
    <t>NERC TPL-001 and Entergy Local Planning Guidelines and Criteria. The P2.1 contingency of Lumberton – Cypress 138 kV line causes a thermal overload on Viway – Neches 138 kV line.</t>
  </si>
  <si>
    <t>SCADA Controlled Motor Operated Switch Addition blanket</t>
  </si>
  <si>
    <t>Blanket for installation of motor operated switches in key areas</t>
  </si>
  <si>
    <t>To improve reliability in areas where motor operated switches are installed</t>
  </si>
  <si>
    <t>Stowell 138-69 kV Autotransformer Upgrade</t>
  </si>
  <si>
    <t>Upgrade 138-69 kV Autotransformer 4 at Stowell 138kV Station.</t>
  </si>
  <si>
    <t>Entergy Local Planning Guidelines and Criteria. The P1.2 or P2.3 loss of Stowell 138-69 kV AT3 overloads Stowell 138-69 kV AT 4.</t>
  </si>
  <si>
    <t>Hugo Switch Retirement</t>
  </si>
  <si>
    <t>Retire the Hugo tap switch SS2915 in conjunction with Xcel’s rebuild of their 0736 line.
A sister project to replace the May switch SS2532 will also occur in conjunction with 0736 line rebuild, likely before this retirement on GRE’s schedule.
Also related to the Hugo switch retirement – GRE crosses 0736 at  CH line Str 89 and 143.   If we are just verifying clearances and not modifying our line, this will just be a coordination with Xcel. If we have to modify anything on our CH line, it would be a capital project.</t>
  </si>
  <si>
    <t>Legend to Sandling 230 kV Lines Rebuild</t>
  </si>
  <si>
    <t>Upgrade Legend-Sandling 230 kV lines 829 and 830.</t>
  </si>
  <si>
    <t>NERC TPL and Entergy Local Planning Guidelines and Criteria. The P6 loss of two of the three Legend – Sandling lines causes a thermal overload on the remaining line with load growth in the area.</t>
  </si>
  <si>
    <t>China 230 kV Station Reconfigure</t>
  </si>
  <si>
    <t>Reconfigure China 230 kV bus so that China – Stowell 230 kV and the China 230/138 kV autotransformer do not share a common breaker.</t>
  </si>
  <si>
    <t>NERC TPL-001 and Entergy Local Planning Guidelines and Criteria. The P2.3 breaker failure at China 230 kV station causes a thermal overload on Mid County – Memorial 138 kV line and South Beaumont – Texaco Hillebrandt – Lovells Lake 69kV.</t>
  </si>
  <si>
    <t>Cypress 500/230/138 kV SPOF</t>
  </si>
  <si>
    <t>Ensure relay redundancy at Cypress 500, 230, and138 kV buses: trip coils, batteries, relays to eliminate the P5 contingency.</t>
  </si>
  <si>
    <t>NERC TPL-001 and Entergy Local Planning Guidelines and Criteria.  The P5 contingency Cypress 138 &amp; 230 kV bus results in a thermal violation for Viway – Neches 138 kV line.</t>
  </si>
  <si>
    <t>Load Interconnection Blanket</t>
  </si>
  <si>
    <t>Blanket for various load interconnection projects</t>
  </si>
  <si>
    <t>Customer connections to transmission system</t>
  </si>
  <si>
    <t>Kettle River Breaker Station Projects</t>
  </si>
  <si>
    <t>Convert the existing Kettle River switching site into a breaker station.</t>
  </si>
  <si>
    <t>The current 69kV Bear Creek 210NB4 – Cromwell 18NB3 circuit has over 50 miles of line exposure which exceeds the acceptable threshold.  This circuit has a F reliability grade for both duration and frequency outages.
The Member, Lake Country Power, wants to rebuild their Kettle River substation in 2028 due to age and condition.</t>
  </si>
  <si>
    <t>Spirit Lake to Opstead Area Projects</t>
  </si>
  <si>
    <t>Rebuild DO line from Opstead Sub to Glen Sub to Spirit Lake Tap (SS099), line segments 2,3 &amp; 4. Line length is approx. 23.9 miles. 
Rebuild DL line segment 1 as part of DO rebuild project. Line length is approx.1.8 miles.</t>
  </si>
  <si>
    <t>The lines are targeted to be replaced due to condition and poor reliability performance.</t>
  </si>
  <si>
    <t>Raywood to Pintail 138 kV Rebuild</t>
  </si>
  <si>
    <t>Rebuild/Upgrade portions of the Raywood – Pintail 138 kV line.</t>
  </si>
  <si>
    <t>NERC TPL-001 and Entergy Local Planning Guidelines and Criteria. For a P6 contingency, after the P1.2 loss of China – Stowell 230 kV line, the system must be reconfigured to stay within thermal and voltage criteria. This upgrade is required during the reconfiguration of the system to avoid an overload of the Raywood to Pintail 138 kV for the loss of the Dayton to Rolke Road 138 kV line.</t>
  </si>
  <si>
    <t>Asset Management Blanket</t>
  </si>
  <si>
    <t>Blanket to renew ITCM assets</t>
  </si>
  <si>
    <t>asset replacement and renewal</t>
  </si>
  <si>
    <t>Zimmerman to Princeton Area Project</t>
  </si>
  <si>
    <t>Rebuild EL line, segments 4, 6, &amp; 7 from the Zimmerman Sub to the Princeton Sub. Line length is approx. 13.1 miles. 
Reconductor segment 5 and install OPGW. Line length is approx. .01 miles.</t>
  </si>
  <si>
    <t>Blaine to Hugo Area Project</t>
  </si>
  <si>
    <t>Rebuild HU line, segments 1-4 from the Blaine Sub to the Hugo Sub. Line length is approx. 6.5 miles.</t>
  </si>
  <si>
    <t>Sand Lake to Pike River Area Project</t>
  </si>
  <si>
    <t>Rebuild LP line from SS2556 to Structure 20. Line length is approx. 1.6 miles. 
Rebuild PK segment 1 from Pike River to Sand lake Tap length is approx.. 7.45 miles
Replace SS2556 and add MOD’s</t>
  </si>
  <si>
    <t>Blaine to Linwood Area Project</t>
  </si>
  <si>
    <t>Rebuild PR line from structure 265 to Linwood Sub. Line length is approx. 12.8 miles.</t>
  </si>
  <si>
    <t>Athens to Soderville Area Project</t>
  </si>
  <si>
    <t>Rebuild SC line from the Soderville substation to the Athens substation. Line length is approx. 12.2 miles. SC – segments 1,2,3,4</t>
  </si>
  <si>
    <t>Hubbard Breaker Addition</t>
  </si>
  <si>
    <t>Hubbard – Replace 115kV Bus 2 differential relaying to provide redundancy and replace aging BPRO relays.  
Remove Riverton UPLC from 230kV HUB-BAD-RTN line  
Hubbard – Replace breaker 99L and foundation and add a second 230kV breaker. 
Replace 230kv CCVT’s asset 318346, 318349, 318349, and 115kv CCVT’s 318360 and 318344 
Replace Wave Trap/Line Tuner 
Replace EEE 
Including battery and charger 
Replace RTU/Switch 
Potentially replace arrestors on high side to Xcel 0909 230kV line. Middle arrestor was replaced ~8 years ago. 
Replace additional 230kV arrestors throughout site including transformer arrestors.</t>
  </si>
  <si>
    <t>Bus relaying is not redundant. Redundant relaying minimizes need for system outages when performing preventative maintenance and improves system reliability.  
MP will be reconfiguring the 3 terminal 230kV HUB-BAD-RTN line into a 2 terminal line HUB-BAD. 
This is a 1980 Siemens 230kv BZO breaker. This is the last oil breaker at Hubbard to be replaced. These hydraulic mechs and oil breakers have none to very limited spare parts available. Replacing breaker would also eliminate the need for oil containment.     
The CCVT’s are 42 years old and need to be replaced during this project. 
The battery bank will be 22 years old and needs replaced</t>
  </si>
  <si>
    <t>Replace New Bourbon 138 kV/69 kV transformer #1</t>
  </si>
  <si>
    <t>Replace the aging 30/40/50 MVA 138/69KV transformer. The #1 transformer unit was originally built in 1965 and repaired in 1986. Due to this age and condition the transformer  unit will be replaced with a new 30/40/50 MVA transformer.</t>
  </si>
  <si>
    <t>MISSOURI RIVER ENERGY SERVICES - TRANSMISSION</t>
  </si>
  <si>
    <t>Reconstruction of Transmission - Erie Rd Sub to Xcel Lyon County Sub</t>
  </si>
  <si>
    <t>Rebuild of transmission structures will encompass installation of new poles, insulators, and hardware. Retaining existing conductor will be analyzed.  The existing steel support structures will stay in place.</t>
  </si>
  <si>
    <t>McLeod 230/115 kV Relay Upgrades</t>
  </si>
  <si>
    <t>The existing 230 kV bus and 230/115 kV transformer have single differential relay schemes.  With this relay upgrade, HUC is implementing redundant differential relaying to improve protection.</t>
  </si>
  <si>
    <t>Redundant relay improvement to avoid single point of failure events.</t>
  </si>
  <si>
    <t>DAIRYLAND POWER COOPERATIVE DPC</t>
  </si>
  <si>
    <t>Caledonia Area 69 kV Rebuild</t>
  </si>
  <si>
    <t>Rebuild 1.02 miles of 69 kV transmission between Caledonia and Harmony on DPC's N53 line, upgrading the existing 4/0 ACSR conductor to 477 ACSR conductor</t>
  </si>
  <si>
    <t>The transmission needs rebuild due to age and condition.</t>
  </si>
  <si>
    <t>Cedar Mills Switch Replacement</t>
  </si>
  <si>
    <t>GRE will be replacing the Cedar Mills switch while Xcel is rebuilding their 0723 line from Atwater to Cosmos.</t>
  </si>
  <si>
    <t>Rosendale Switch Replacement</t>
  </si>
  <si>
    <t>GRE will be replacing the Rosendale switch and MOD while Xcel is rebuilding their 0723 line from Atwater to Cosmos.</t>
  </si>
  <si>
    <t>Spicer tap to Willmar line rebuild projects</t>
  </si>
  <si>
    <t>Rebuild SH line from SS306 to the SHX Line. Segments 4,7 &amp; 8. Line length is approx. 12.3 miles.</t>
  </si>
  <si>
    <t>OTTER TAIL POWER COMPANY OTP</t>
  </si>
  <si>
    <t>OTP Hobart Lake 41.6 kV Line Reroute</t>
  </si>
  <si>
    <t>Reroute 41.6 kV line between Sanborn 41.6 kV and Fingal jct. 41.6 kV.</t>
  </si>
  <si>
    <t>Aging Asset replacement and accessibility needs.</t>
  </si>
  <si>
    <t>OTP Plummer 41.6 kV Line Rebuild</t>
  </si>
  <si>
    <t>Rebuild 41.6 kV line out of Plummer 41.6 kV.</t>
  </si>
  <si>
    <t>Aging Asset replacement</t>
  </si>
  <si>
    <t>Dassel Tap Line Rebuild Projects</t>
  </si>
  <si>
    <t>Rebuild ME-DAT line from Xcel Structure to the Dassel Sub. Line length is approx. 0.75 miles.</t>
  </si>
  <si>
    <t>OTP Audubon 41.6 kV Line Rebuild</t>
  </si>
  <si>
    <t>Rebuild 41.6 kV line out of Audubon 41.6 kV.</t>
  </si>
  <si>
    <t>OTP Wilton - Bemidji 41.6 kV Line Rebuild</t>
  </si>
  <si>
    <t>Rebuild 41.6 kV line between Wilton 41.6 and Bemidji 41.6 kV.</t>
  </si>
  <si>
    <t>OTP St. Thomas 41.6 kV Line Recloser</t>
  </si>
  <si>
    <t>Install line recloser near St. Thomas 41.6 kV.</t>
  </si>
  <si>
    <t>Reduce 41.6 kV line exposure and improve reliability</t>
  </si>
  <si>
    <t>Leland to Forest City N43 69 kV Rebuild</t>
  </si>
  <si>
    <t>Rebuild 4.2 miles of 69 kV transmission between Leland and Forest City on DPC's N43 line</t>
  </si>
  <si>
    <t>OTP Browns Valley 41.6 kV Line Recloser</t>
  </si>
  <si>
    <t>Install line recloser near Browns Valley 41.6 kV.</t>
  </si>
  <si>
    <t>OTP Pickert Reactor Retirement</t>
  </si>
  <si>
    <t>Retire 41.6 kV reactor at Pickert 41.6 kV.</t>
  </si>
  <si>
    <t>Aging Asset</t>
  </si>
  <si>
    <t>IA; MN</t>
  </si>
  <si>
    <t>Leland to Twin Lakes N40 69 kV Rebuild</t>
  </si>
  <si>
    <t>Rebuild 18.75 miles of 69 kV transmission between Leland and Twin Lakes on DPC's N40 line</t>
  </si>
  <si>
    <t>Delano to Crow River Area Project</t>
  </si>
  <si>
    <t>Rebuild DS line from the DX Line tap to the Delano Sub, line segment 2 (Str’s 1-48). Line length is approx. 4 miles.   Rebuild DX line from the existing DS Line tap to the Crow River Sub. Line length is approx. 2.75 miles.   Replace switch SS3004 and replace the 700 MHz at the Delano substation.</t>
  </si>
  <si>
    <t>Delano to Elk River Area Project</t>
  </si>
  <si>
    <t>Rebuild ED line, segments 2, 3, &amp; 5-8. Line length is approx. 25 miles. 
Reconductor segment 4 and 9 and install OPGW. Line length is approx. 1.1 miles.</t>
  </si>
  <si>
    <t>Loyal to T-Corners N45 69 kV Rebuild</t>
  </si>
  <si>
    <t>Rebuild 16.93 miles of 69 kV transmission between DPC Loyal and Xcel T-Corners on DPC's N45 line, upgrading existing 4/0 and 1/0 ACSR conductor to 477 ACSR conductor.</t>
  </si>
  <si>
    <t>The transmission needs rebuild due to age and condition. Additionally, the existing 1/0 limits throughflow on this networked 69 kV line.</t>
  </si>
  <si>
    <t>Oakdale to Babcock N55 69 kV Rebuild</t>
  </si>
  <si>
    <t>Rebuild 32.6 miles of 69 kV transmission between Oakdale and Babcock on DPC's N55 line, upgrading existing 1/0 ACSR conductor to 477 ACSR conductor.</t>
  </si>
  <si>
    <t>Decorah to Nordness N8 69 kV Rebuild</t>
  </si>
  <si>
    <t>Rebuild 2.59 miles of 69 kV transmission between ITC Decorah and DPC Nordness. Existing 336 ACSR will be upgraded to 477 ACSR.</t>
  </si>
  <si>
    <t>This rebuild is driven by age and condition as well as upgrading the limiting 336 ACSR.</t>
  </si>
  <si>
    <t>Bell Center to Gays Mills 69 kV Rebuild</t>
  </si>
  <si>
    <t>Rebuild 6.45 miles of 69 kV transmission between Bell Center and Gays Mills. Retire 12.49 miles existing 69 kV transmission between Gays Mills and DPC's N-107 transmission line.</t>
  </si>
  <si>
    <t>Rebuild due to age and condition.</t>
  </si>
  <si>
    <t>Apple River Transformers Upgrade</t>
  </si>
  <si>
    <t>Upgrade the existing 67 MVA, 161/69 kV transformers (2) at Apple River to 112 MVA, 161/69 kV transformers (2)</t>
  </si>
  <si>
    <t>Local reliability</t>
  </si>
  <si>
    <t>Rebuild Airport - Mio Dam 138 kV line</t>
  </si>
  <si>
    <t>Rebuild the Airport – Mio Dam 138kV line with 954 ACSR overhead conductor capable of double circuit 138 kV from Structure 103A7709 to Mio Dam. OPGW will be installed as needed.</t>
  </si>
  <si>
    <t>The structures on Airport - Mio Dam 138 kV were installed in the 1950's and are reaching their end-of-life.</t>
  </si>
  <si>
    <t>Rebuild Cornell - Tihart 138 kV line</t>
  </si>
  <si>
    <t>Rebuild the Cornell - Tihart 138 kV line with 954 ACSR overhead conductor capable of double circuit 138 kV.</t>
  </si>
  <si>
    <t>The structures on Cornell - Tihart 138 kV are ~67 years old &amp; reaching their end-of-life and need to be rebuilt.</t>
  </si>
  <si>
    <t>MN; ND; SD</t>
  </si>
  <si>
    <t>OTP Asset Management Blanket</t>
  </si>
  <si>
    <t>Blanket project to capture switch and breaker replacements as identified.</t>
  </si>
  <si>
    <t>Switch and breaker replacements as work can be done and identified.</t>
  </si>
  <si>
    <t>Upgrade Navarre Station Equipment</t>
  </si>
  <si>
    <t>Upgrade Navarre breaker "AB" CT. Upgrade NAVAR "HL" Relay Thermal. All upgrades to a minimum SE of 673MVA.</t>
  </si>
  <si>
    <t>The Navarre Transformer 201 is projected to be overloaded due to a P6 contingency condition. The overloaded equipment identified are the station equipment at Navarre, breaker "AB" CT and breaker "HL" relay thermal.</t>
  </si>
  <si>
    <t>Rebuild Croton 138 kV station</t>
  </si>
  <si>
    <t>Rebuild and convert Croton 138 kV station to breaker-and-a-half configuration.</t>
  </si>
  <si>
    <t>Croton 138 kV station is very old and is currently a linear bus configuration. Detailed project justification will be provided by METC.</t>
  </si>
  <si>
    <t>Wabaco to CapX Q34 161 kV Rebuild</t>
  </si>
  <si>
    <t>Rebuild 4.75 miles of 161 kV transmission between Wabaco and the CapX double circuit. Existing 605 ACSS will be upgraded to 795 ACSS conductor.</t>
  </si>
  <si>
    <t>METC Customer Interconnections - 2029</t>
  </si>
  <si>
    <t>METC will individually evaluate each request to ensure it does not adversely impact reliability. Projects that result in a system solution where the cost estimate is less than $2.5 Million that have an in-service date within the year 2029 will be associated with this project. When Customer Interconnection projects are evaluated to amount in a cost greater than $2.5 Million, a separate project will be submitted for approval.</t>
  </si>
  <si>
    <t>These projects are being done at the request of an interconnection customer in order to facilitate new load, re-distribute existing load, improve the performance of the sub-transmission and distribution systems, or to accommodate a new Transmission-to-Transmission connection request. These projects are strictly in response to customer interconnection requests. They are not being proposed to address any specific METC system reliability concerns.</t>
  </si>
  <si>
    <t>METC Line Relocation - 2028</t>
  </si>
  <si>
    <t>Relocate portion(s) of METC transmission lines located in public right of way at the government entities’ mandate.</t>
  </si>
  <si>
    <t>These line relocation projects are being done at the request of government entities due to road construction or expansion where the METC transmission lines are impacted.</t>
  </si>
  <si>
    <t>METC Asset Replacement Program - 2028</t>
  </si>
  <si>
    <t>Equipment that is past its expected design life, utilizes outdated functionality or whose failure rates and maintenance requirements have increased the potential for misoperations and higher maintenance costs associated with their ongoing use.</t>
  </si>
  <si>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</si>
  <si>
    <t>ITCT Customer Interconnections - 2029</t>
  </si>
  <si>
    <t>ITCT will individually evaluate each request to ensure it does not adversely impact reliability. Projects that result in a system solution where the cost estimate is less than $2.5 Million that have an in-service date within the year 2029 will be associated with this project. When Customer Interconnection projects are evaluated to amount in a cost greater than $2.5 Million, a separate project will be submitted for approval.</t>
  </si>
  <si>
    <t>These projects are being done at the request of an interconnection customer in order to facilitate new load, re-distribute existing load, improve the performance of the sub-transmission and distribution systems, or to accommodate a new Transmission-to-Transmission connection request. These projects are strictly in response to customer interconnection requests. They are not being proposed to address any specific ITCT system reliability concerns.</t>
  </si>
  <si>
    <t>ITCT Line Relocation - 2028</t>
  </si>
  <si>
    <t>Relocate portion(s) of ITCT transmission lines located in public right of way at the government entities’ mandate.</t>
  </si>
  <si>
    <t>These line relocation projects are being done at the request of government entities due to road construction or expansion where the ITCT transmission lines are impacted.</t>
  </si>
  <si>
    <t>ITCT Asset Replacement Program - 2028</t>
  </si>
  <si>
    <t>WABASH VALLEY POWER ASSOCIATION, INC.</t>
  </si>
  <si>
    <t>Rebuild Milner's Corner 69 kV Line</t>
  </si>
  <si>
    <t>Rebuild approximate 2.5 miles of 69kV serving the Milner's Corner substation due to age and condition</t>
  </si>
  <si>
    <t>New College Avenue 138/12 kV Substation</t>
  </si>
  <si>
    <t>Construct a new 138/12kV substation to serve an expansion of an existing customer</t>
  </si>
  <si>
    <t>Drake 69/12 kV Substation</t>
  </si>
  <si>
    <t>Construct a new 69/12kV dedicated substation for an existing customer expansion, will move load from Enterprise South</t>
  </si>
  <si>
    <t>An existing load in the Lebanon area is expanding and a new substation is needed to serve the load</t>
  </si>
  <si>
    <t>New Bridge Creek 69/12 kV Substation</t>
  </si>
  <si>
    <t>Construct a new 69/12kV substation off the Duke 69kV system, the main feed will connect to the 69kV near Flora, IN and the backup feed will connect to the 69188 line</t>
  </si>
  <si>
    <t>Convert Elizaville 69 kV</t>
  </si>
  <si>
    <t>Convert the Boone County REMC Elizaville substation to high side 69kV to alleviate voltage issues at the site from the 34kV system</t>
  </si>
  <si>
    <t>New Carpenter/Princeton 2nd 69 kV Source</t>
  </si>
  <si>
    <t>Construct a 69kV tie between the NIPSCO transmissin system and the Carpenter and Princeton substations to provide redundancy to both stations</t>
  </si>
  <si>
    <t>New Marco to Lawrence 69 kV Tie</t>
  </si>
  <si>
    <t>Construct a 69kV tie between the Marco and Lawrence substations to provide redundancy to both stations</t>
  </si>
  <si>
    <t>IL; IN</t>
  </si>
  <si>
    <t>New Fieldon 69/12 kV Substation</t>
  </si>
  <si>
    <t>Construct a new 69/12kV substation connected to the PPI transmission system to serve new load</t>
  </si>
  <si>
    <t>New Foundry 138/12 kV Substation</t>
  </si>
  <si>
    <t>Construct a new 138/12kV substation to serve a new customer with a 138kV ring bus</t>
  </si>
  <si>
    <t>New Lebanon Industrial North 69/12 kV Substation</t>
  </si>
  <si>
    <t>Construct a new 69/12kV substation north of Lebanon to serve additional load at the Eli Lilly facility</t>
  </si>
  <si>
    <t>New LEAP 345 kV Phase 1 Reactive Mitigation</t>
  </si>
  <si>
    <t>Replace the static capacitor at LEAP North with a switched capacitor to alleviate an overvoltage scenario</t>
  </si>
  <si>
    <t>New McCordsville 2nd Bank</t>
  </si>
  <si>
    <t>Install a 2nd 22.4MVA transformer at McCordsville substation</t>
  </si>
  <si>
    <t>An additional transformer is needed to serve additional load in the area</t>
  </si>
  <si>
    <t>New Pioneer 138/12 kV Substation</t>
  </si>
  <si>
    <t>Construct a new 138/12kV substation to serve expanding load on the north side of Lebanon, IN</t>
  </si>
  <si>
    <t>A new substation is required for load growth in the Lebanon, IN area</t>
  </si>
  <si>
    <t>New Walnut Ridge 138/12 kV Substation</t>
  </si>
  <si>
    <t>HE Walnut Ridge - Construct a new 138/12 kV distribution substation on the Duke 13828 North Vernon - Madison line.</t>
  </si>
  <si>
    <t>Age, condition, and reliability of the existing HE Dupont 34.5/12 kV substation drive the need for a rebuild or replacement. The new HE Walnut Ridge will replace HE Dupont and pick up the existing load.</t>
  </si>
  <si>
    <t>New Falmouth 138/12 kV Substation</t>
  </si>
  <si>
    <t>HE Falmouth - Construct a new 138/12 kV distribution substation on the Duke 13835 Connersville - New Castle line.</t>
  </si>
  <si>
    <t>Age, condition, and reliability of the existing radial 69 kV line serving HE Harrisburg 69/12 kV substation drive the need for a rebuild or replacement. The new HE Falmouth will pick up load from HE Harrisburg.</t>
  </si>
  <si>
    <t>Upgrade Guthrie 34.5/12 kV Substation</t>
  </si>
  <si>
    <t>Guthrie is an existing 34.5/12 kV substation. This project will upgrade the high side voltage to 138 kV by interconnecting with the Duke 13871 Bloomington - Bedford line adjacent to the existing station.</t>
  </si>
  <si>
    <t>Age, condition, and reliability of the existing 34.5 kV line serving HE Guthrie 34.5/12 kV substation drive the need for a rebuild or replacement. Upgrading the high side to 138 kV will improve the local reliability of the station.</t>
  </si>
  <si>
    <t>Thompson Lake to Remmele area projects</t>
  </si>
  <si>
    <t>1.) Rebuild the 6.42 mile, 266 ACSR portion of the Thompson Lake (EWS12) – Remmele Tap (EWS16) 69 kV line to 477 ACSS and keep the conductors on the roadside of the line.   The “EW” line is planned to be a future 69kV/115kV double circuit.  Mimic the design on the Liberty – Thompson Lake 69 kV line.
2.)  Upgrade 600-amp switches EWS12 and EWS13 to 1200-amp.</t>
  </si>
  <si>
    <t>Thermal overloading is being detected on the Thompson Lake – Remmele Tap “EW” 69 kV line which is 266 ACSR, 6.27 miles long, and is rated for 58.7/78.1 MVA during summer peak loading for the loss of Elk River 14 – Elk River Municipal West 69 kV line based on the 2030 Summer Peak model utilizing GRE’s peak loads.  This line will be rebuilt with 477 ACSS.</t>
  </si>
  <si>
    <t>New Greensburg 138 kV Load Addition</t>
  </si>
  <si>
    <t>Construct a new 138 kV ring bus on the Decatur – Honda 138 kV line to serve a new large load.
The new large load has a total estimated load of 50 MW at 95% PF (52.6 MVA, 16.43 MVAR).</t>
  </si>
  <si>
    <t>A new large load has a total estimated load of 50 MW at 95% PF (52.6 MVA, 16.43 MVAR). To serve this, new 138 kV facilities are required.</t>
  </si>
  <si>
    <t>New Castle Bluff BESS Energy Center connection (R1059)</t>
  </si>
  <si>
    <t>The Castle Bluff Energy Center (CBEC) is a new planned battery energy storage system (BESS), located at the Meramec Energy Center property, to be owned and operated by Ameren Missouri. MISO project R1059</t>
  </si>
  <si>
    <t>Litchfield 115 kV Voltage Conversion</t>
  </si>
  <si>
    <t>In conjunction with GRE MTEP Project 50873, the Litchfield substation will be converted to 115 kV along with the construction of a new 115 kV transmission substation in North Litchfield. This will include a three (3) position ring-bus and a 20 MVAr cap bank.</t>
  </si>
  <si>
    <t>Owatonna 161/69kV Transmission Expansion</t>
  </si>
  <si>
    <t>Two substations, a 69/12.5kV distribution substation and a 161/69kV transmission substation are being built in the Owatonna subsystem. The transmission substation will tap the 161kV Line from West Owatonna Substation-South Faribault Substation and connect to the new distribution station and East Chain substation with new 69kV transmission lines.</t>
  </si>
  <si>
    <t>Due to load growth on the Northeast side of Owatonna, distribution voltage issues, distribution contingencies, and other distribution level constraints, this city requires a more robust transmission system to meet these needs.</t>
  </si>
  <si>
    <t>Remove SIPC Transmission Line - Wheeler Creek 138 kV</t>
  </si>
  <si>
    <t>Remove SIPC Transmission line termination into Wheeler Creek Transmission Station. This is being planned in conjunction with other projects from Ameren and SIPC as part of coordinated portfolio of projects called "South Central Illinois Transmission Expansion".</t>
  </si>
  <si>
    <t>The project will support the SCITE portfolio of projects. This project will increase reliability to the Wheeler Creek Substation.</t>
  </si>
  <si>
    <t>Ozaukee County, DIC, New Substations</t>
  </si>
  <si>
    <t>New large load addition. Install four new 345 kV substations (Decker - new, modifying three of the substations approved in LRTP 2.1 Project 28: Sheboygan River MTEP Facility ID 50987, Mullet River Junction MTEP Facility ID 50990, Cedar Creek Junction MTEP Facility ID 50993), three new double-circuit 345 kV lines by rebuilding existing single-circuit 345 kV lines, networking adjacent 345 kV lines into the new 345 kV subs, and uprating eight existing 345 kV lines. The new Decker 345 kV interconnection substation will include ten 345/34.5 kV customer distribution transformers, 4 x 75 Mvar cap banks, and a ±350 Mvar STATCOM.</t>
  </si>
  <si>
    <t>M3 - Under Construction</t>
  </si>
  <si>
    <t>1803 - 2026 Age and Condition Program</t>
  </si>
  <si>
    <t>The 1803 Age and Condition Program prioritizes replacing aged and/or degraded transmission substation assets prioritized on equipment condition assessments. This project covers the execution of this program in 2026 to replace aging equipment such as: arrestors, breakers, switches, motor operated switches, current transformers, potential transformers, communication equipment, protective relays, battery banks, or battery chargers.</t>
  </si>
  <si>
    <t>1803 Electric Cooperative, Inc was approved as a MISO TO on June 12, 2025.  This EPR request is for the evaluation of a 2026 MTEP “Other/Age and Condition” project for work to be performed during calendar year 2026. Due to expected lead times of BES equipment 1803 requests approval of this project ahead of the MTEP26 cycle.</t>
  </si>
  <si>
    <t>1803 - 2027 Age and Condition Program</t>
  </si>
  <si>
    <t>The 1803 Age and Condition Program prioritizes replacing aged and/or degraded transmission substation assets prioritized on equipment condition assessments. This project covers the execution of this program in 2027 to replace aging equipment such as: arrestors, breakers, switches, motor operated switches, current transformers, potential transformers, communication equipment, protective relays, battery banks, or battery chargers.</t>
  </si>
  <si>
    <t>1803 Electric Cooperative, Inc was approved as a MISO TO on June 12, 2025.  This EPR request is for the evaluation of a 2026 MTEP “Other/Age and Condition” project for work to be performed during calendar year 2027. Due to expected lead times of BES equipment 1803 requests approval of this project ahead of the MTEP26 cycle.</t>
  </si>
  <si>
    <t>BIG RIVERS ELECTRIC CORPORATION BREC</t>
  </si>
  <si>
    <t>KY</t>
  </si>
  <si>
    <t>BREC Ownership of DEHV Station 345 kV</t>
  </si>
  <si>
    <t>BREC is purchasing the existing DEHV station and DEHV-OMU transmission line from LGEE.</t>
  </si>
  <si>
    <t>The station is in the middle of an existing BREC 345kV line.  The purchase will provide BREC functional control of facilities between BREC's WEHV and CEHV stations as it is part of BREC's 345kV backbone.</t>
  </si>
  <si>
    <t>ANGIE 230/69KV SUBSTATION - 230KV LINE BREAKER ADDITIONS</t>
  </si>
  <si>
    <t>ADD 230KV LINE BREAKERS AND ASSOCIATED EQUIPMENT TO THE EXISTING 1803 ANGIE 230/69KV SUBSTATION</t>
  </si>
  <si>
    <t>INCREASE RELIABILITY OF THE ANGIE DELIVERY POINT BY ADDING ADDITIONAL INTERRUPTING DEVICES</t>
  </si>
  <si>
    <t>HOLTON 115/69KV SUBSTATION - 115KV LINE BREAKER ADDITIONS AND 69KV BUS TIE BREAKER ADDITION</t>
  </si>
  <si>
    <t>ADD 115KV LINE BREAKERS, A 69KV BUS TIE BREAKER, AND ASSOCIATED EQUIPMENT TO THE EXISTING 1803 HOLTON 115/69KV SUBSTATION</t>
  </si>
  <si>
    <t>INCREASE RELIABILITY OF THE HOLTON DELIVERY POINT BY ADDING ADDITIONAL INTERRUPTING DEVICES.</t>
  </si>
  <si>
    <t>TALISHEEK 230KV LINE BREAKER ADDITIONS AND 69KV BUS TIE BREAKER ADDITION</t>
  </si>
  <si>
    <t>ADD 230V LINE BREAKERS, A 69KV BUS TIE BREAKER, AND ASSOCIATED EQUIPMENT TO THE EXISTING 1803 TALISHEEK 230/69KV SUBSTATION</t>
  </si>
  <si>
    <t>INCREASE RELIABILITY OF THE TALISHEEK DELIVERY POINT BY ADDING ADDITIONAL INTERRUPTING DEVICES.</t>
  </si>
  <si>
    <t>MOSS BLUFF TO LONGVILLE 69KV LOOP</t>
  </si>
  <si>
    <t>ENGINEER, PROCURE, AND CONSTRUCT THE NECESSARY SYSTEM IMPROVEMENTS TO OPERATE THE 1803/LAGT/BECI 69KV LINES BETWEEN MOSS BLUFF AND LONGVILLE IN A CLOSED LOOP CONFIGURATION.</t>
  </si>
  <si>
    <t>THE AMOUNT OF LOAD ON THE ASSOCIATED RADIAL LINES EXCEED THE PERMISSIBLE MW-MI LIMIT IN THE 1803 LOCAL PLANNING CRITERIA.  AN 1803/LAGT/BECI 69KV LOOP FROM MOSS BLUFF TO LONGVILLE REDUCES THE RADIAL EXPOSURE TO THE FOLLOWING STATIONS: GILLIS, WILLIAMS, RAGLEY, AND TRUNKLINE.</t>
  </si>
  <si>
    <t>LONGVILLE TO DERIDDER 69KV LOOP</t>
  </si>
  <si>
    <t>ENGINEER, PROCURE, AND CONSTRUCT THE NECESSARY SYSTEM IMPROVEMENTS TO OPERATE THE 1803/LAGT/BECI 69KV LINES BETWEEN LONGVILLE AND DERIDDER IN A CLOSED LOOP CONFIGURATION</t>
  </si>
  <si>
    <t>THE AMOUNT OF LOAD ON THE ASSOCIATED RADIAL LINES EXCEED THE PERMISSIBLE MW-MI LIMIT IN THE 1803 LOCAL PLANNING CRITERIA.  AN 1803/LAGT/BECI 69KV LOOP FROM LONGVILLE TO DERIDDER REDUCES THE RADIAL EXPOSURE TO THE FOLLOWING STATIONS: BARNES CREEK, DRY CREEK, BON AMI, AND TRUNKLINE.</t>
  </si>
  <si>
    <t>DERIDDER TO EAST LEESVILLE 69KV LOOP</t>
  </si>
  <si>
    <t>ENGINEER, PROCURE, AND CONSTRUCT THE NECESSARY SYSTEM IMPROVEMENTS TO OPERATE THE 1803/LAGT/BECI 69KV LINES BETWEEN DERIDDER AND EAST LEESVILLE IN A CLOSED LOOP CONFIGURATION</t>
  </si>
  <si>
    <t>THE AMOUNT OF LOAD ON THE ASSOCIATED RADIAL LINES EXCEED THE PERMISSIBLE MW-MI LIMIT IN THE 1803 LOCAL PLANNING CRITERIA.  AN 1803/LAGT/BECI 69KV LOOP FROM DERIDDER TO EAST LEESVILLE REDUCES THE RADIAL EXPOSURE TO THE FOLLOWING STATIONS: LUDINGTON, JUNCTION, PICKERING, CHIP MILL, AND NEW LLANO.</t>
  </si>
  <si>
    <t>DERIDDER TO LUDINGTON 69KV REBUILD</t>
  </si>
  <si>
    <t>REBUILD THE EXISTING DERIDDER TO LUDINGTON 69KV LINE WITH 795 ACSR &amp; OPGW</t>
  </si>
  <si>
    <t>MEETING LOCAL PLANNING CRITERIA. DERIDDER TO LUDINGTON OVERLOADS DURING AN N-1 CONTINGENCY WHEN THE DERIDDER TO EAST LEESVILLE LOOP IS OPERATED IN THE NORMALLY CLOSED CONFIGURATION.</t>
  </si>
  <si>
    <t>EAST MANDEVILLE 230/69KV SUBSTATION</t>
  </si>
  <si>
    <t>ENGINEER, PROCURE, AND CONSTRUCT A NEW 230/69KV SUBSTATION TO SERVE WST'S MANDEVILLE AND LACOMBE STATIONS.  THIS SUBSTATION REMOVES THE NEED FOR THE MANDEVILLE MEDIUM VOLTAGE DELIVERY POINT AND PROVIDES A NEW 230KV SOURCE TO THE SOUTH SIDE OF 1803/WSTE'S SYSTEM.</t>
  </si>
  <si>
    <t>THE EXISTING MANDEVILLE TO LACOMBE 69KV LINE IS CURRENTLY OPERATED AT 34.5KV AND HAS REACHED ITS CAPACITY.  THE 1803/WSTE LONG TERM PLANS FOR THIS AREA IS TO CONVERT THE MANDEVILLE AND LACOMBE STATIONS TO 69KV OPERATION AND EXTEND A 69KV LINE FROM THE NEW EAST MANDEVILLE SUBSTATION THROUGH LACOMBE AND TO HICKORY.</t>
  </si>
  <si>
    <t>ROCKY BRANCH TO MARION 115KV LOOP</t>
  </si>
  <si>
    <t>ENGINEER, PROCURE, AND CONSTRUCT A NEW 115KV TRANSMISSION LINE FROM THE NEW ROCKY BRANCH 115KV SWITCHING STATION TO THE EXISTING FARMERVILLE RURAL SUBSTATION. CONVERT THE EXISTING 69KV RADIAL LINE FROM FARMERVILLE CITY TO THE MARION 115/69KV SUBSTATION TO 115KV. NOTE, THIS PROJECT ASSUMES THAT CLAIBORNE'S NEW LINE SEGMENT FROM FARMERVILLE RURAL TO FARMERVILLE CITY IS CONSTRUCTED AT 115KV INSULATION.</t>
  </si>
  <si>
    <t>THE AMOUNT OF LOAD ON THE ASSOCIATED RADIAL LINES EXCEED THE PERMISSIBLE MW-MI LMIIT IN THE 1803 LOCAL PLANNING CRITERIA.  AN 1803/LAGT/CLAIBORNE 115KV LOOP FROM ROCKY CREEK TO MARION REDUCES THE RADIAL EXPOSURE TO THE FOLLOWING STATIONS: MARION, EAST FARMERVILLE, AND FARMERVILLE RURAL.</t>
  </si>
  <si>
    <t>1803/LAGT WATERLOO TO CLECO YELLOW BAYOU TRANSMISSION LOOP</t>
  </si>
  <si>
    <t>ENGINEER, PROCURE, AND CONSTRUCT A NEW 138KV TRANSMISSION LINE FROM THE NEW  1803/LAGT QUINTON 138/69KV SUBSTATION TO THE EXISTING CLECO YELLOW BAYOU SUBSTATION.</t>
  </si>
  <si>
    <t>THE AMOUNT OF LOAD ON THE ASSOCIATED RADIAL LINES EXCEED THE PERMISSIBLE MW-MI LMIIT IN THE 1803 LOCAL PLANNING CRITERIA.  AN 1803/LAGT/PCE WATERLOO TO CLECO YELLOW BAYOU LOOP REDUCES THE RADIAL EXPOSURE TO: NEW ROADS, MORGANZA, NANYA, QUINTON, AND SIMMESPORT.</t>
  </si>
  <si>
    <t>Halliday Sub-Killdeer Rebuild</t>
  </si>
  <si>
    <t>Rebuild the Halliday Sub-Killdeer 41.6 kV line.</t>
  </si>
  <si>
    <t>Age &amp; Condition, and improve system voltage.</t>
  </si>
  <si>
    <t>MT</t>
  </si>
  <si>
    <t>Replace Glendive River Crossing TL003-1/TL009-1</t>
  </si>
  <si>
    <t>Replace the existing Yellowstone River crossings in Glendive.</t>
  </si>
  <si>
    <t>Age &amp; condition</t>
  </si>
  <si>
    <t>Wagon Wheel Substation</t>
  </si>
  <si>
    <t>New Distribution substation to replace existing La Crescent substation which is experiencing age and condition degradation.</t>
  </si>
  <si>
    <t>Existing substation is experiencing environmental degradation and needs to be relocated.</t>
  </si>
  <si>
    <t>Glenwood Capacitor Addition</t>
  </si>
  <si>
    <t>Replace failed Glenwood capacitor and add an additional bank.</t>
  </si>
  <si>
    <t>Support local area voltage.</t>
  </si>
  <si>
    <t>Kohlman Lake Switch Upgrade</t>
  </si>
  <si>
    <t>Upgrade switches and wavetrap to remove rating limiters on Kohlman Lake - Coon Creek 345kV line.</t>
  </si>
  <si>
    <t>Remove limiters on 345kV Kohlman Lake - Coon Creek line to increase rating.</t>
  </si>
  <si>
    <t>New Project Raider Load Substation 345 kV</t>
  </si>
  <si>
    <t>Construct a new 345 kV breaker-and-a-half substation on the Posey– Gibson transmission line. The new station will be approximately 8 line-miles from the Posey substation.</t>
  </si>
  <si>
    <t>A new customer has plans to construct a facility within SIGE's service territory along the Posey-Gibson line.</t>
  </si>
  <si>
    <t>1803/LAGT/NELPCO PINEY WOODS SUBSTATION</t>
  </si>
  <si>
    <t>ENGINEER, PROCURE, AND CONSTRUCT THE 115KV HIGH SIDE OF A NEW NELPCO 115KV METERING POINT ON THE EXISTING ENTERGY BAYOU MACON TO WINNSBORO 115KV LINE.</t>
  </si>
  <si>
    <t>THIS PROJECT REDUCES THE LOADING OF THE 1803/LAGT/NELPCO ARCHIBALD AND DELHI MEDIUM VOLTAGE METERING POINTS THAT ARE CURRENTLY AT CAPACITY.</t>
  </si>
  <si>
    <t>Green Hill Substation and Associated 345 kV Lines</t>
  </si>
  <si>
    <t>Construct the new Green Hills Substation. The project will consist of expanding the Southland 345 kV Substation, constructing two new lines between Southland and Green Hill Substations, and rerouting the CBEC-Southland 345 kV line into the Green Hill Substation.</t>
  </si>
  <si>
    <t>New Load on Existing HUC Plant 2 69 kV sub</t>
  </si>
  <si>
    <t>Add new 20 MW data center load to existing sub.</t>
  </si>
  <si>
    <t>Meet customer’s desired in service of Fall 2026.</t>
  </si>
  <si>
    <t>Indian Creek West 161 kV Substation &amp; Associated Upgrades</t>
  </si>
  <si>
    <t>Construct new Indian Creek West Substation to serve new customer load. Bisect the CBEC-Indian Creek East 161 kV line and bring line taps into Indian Creek West Substation. Construct the new Fox Run 345-161 kV Substation (includes 345-161 kV transformer), which will bisect the CBEC – S3456 345 kV line and the CBEC – S1206 161 kV line. Construct a new 161 kV line from Fox Run Substation to Indian Creek West Substation. Rebuild the Sub 701 – S1211 161 kV line and replace terminal equipment at each substation. Replace structures on the Sub 701 – Sub 702 161 kV line and terminal equipment at each substation. Install 161 kV line breakers and associated equipment at River Bend Substation.</t>
  </si>
  <si>
    <t>Serve Load</t>
  </si>
  <si>
    <t>New Morgan County 345/69 kV Transmission Station and 69 kV Line</t>
  </si>
  <si>
    <t>Construct a new 345 kV ring bus station on the Thompson – Petersburg 345 kV line between Thompson and Antioch with a 69 kV low side station. Construct a new 3.65 mile 69 kV line from the new Morgan Co transmission station to HE Mooresville tap.</t>
  </si>
  <si>
    <t>The Hoosier 69 kV system in Morgan County is currently served from four-way 69 kV switch between DEI Plainfield South and Centerton. Bringing in a new source from the 345 kV system will substantially improve the reliability of the area and reduce difficulty managing load growth.</t>
  </si>
  <si>
    <t>New Jennings County 161/69 kV Transmission Station and 69 kV Line</t>
  </si>
  <si>
    <t>Construct a new 161 kV ring bus on the Lawrence – Napoleon 161 kV line near Selmier Junction and a 69 kV low side ring bus. Construct new 17.9 mile 69 kV line from Jennings 69 kV station to Waynesville 69 kV station.</t>
  </si>
  <si>
    <t>Selmier 161 kV station is currently served from a radial tap on the Lawrence - Napoleon 161 kV line. The industrial loads currently served by Selmier station are not able to be effectively supported from the existing 69 kV system when the 161 kV system is unavailable. Constructing a new ring bus at this location will improve the reliability of the area and allow the existing 69 kV system to be reinforced.</t>
  </si>
  <si>
    <t>New St.Joesph to Northside 138 kV Line and 138/12 kV Station</t>
  </si>
  <si>
    <t>Construct a new 9 mile 138 kV line from HE St. Joseph 138 kV station to LGEE Northside 138 kV station. Construct a new 138/12 kV distribution station along the line to serve a new industrial load.</t>
  </si>
  <si>
    <t>The combination of a new load request and existing constraints serving distribution customers along I-65 in Clark Co requires a new distribution station. The nearest transmission lines are blocked by the Clark Co Airport, therefore new transmission needs to be brought into the area to serve the load.</t>
  </si>
  <si>
    <t>MTEP26 Transmission Pole Replacement Program, 138kv-69kV, various locations.</t>
  </si>
  <si>
    <t>Transmission Line pole replacement projects for the following 161kv-69kV lines: T13, T19, T22, T23, T24, T40, T40A, T40B, T10, T11, T11A, T34, T37, T46, T47. Per MISO staff request, one MTEP project submission replacing 16 individual projects previously submitted.</t>
  </si>
  <si>
    <t>Replace or repair aging or failing transmission assets across CECT's territory.</t>
  </si>
  <si>
    <t>NORTHERN INDIANA PUBLIC SERVICE COMPANY LLC NIPS</t>
  </si>
  <si>
    <t>Customer A 138 kV</t>
  </si>
  <si>
    <t>260MW load is being looped into circuit 13803 Wolf Lake to Stateline B (NIPSCO-ComEd).</t>
  </si>
  <si>
    <t>Load Addition</t>
  </si>
  <si>
    <t>New Gill 345 kV Station and 345 kV Lines</t>
  </si>
  <si>
    <t>Approximately 1 mile south of Merom station, expand the radial Merom 345kV straight bus station into a 345 kV breaker-and-a-half station, located in Sullivan County, IN. Rename bus from Mega Merom to Gill. 
Construct a second 345 kV line from Merom Station to Gill Station. 
Remove the following 345 kV line terminations from Merom station and terminate them at Gill station instead:
•	345kV Line from HE Worthington
•	345kV Line from Duke Gibson
Modify existing LRTP project to bring the IPL Sullivan-Petersburg 345kV line into Gill station instead of Merom station.  
As part of this EPR, the following additional data center loads are being added at the Gill bus:
•	960 MW by 1/1/2028. This is in addition to the loads already modeled at this bus in MTEP25 models.</t>
  </si>
  <si>
    <t>To serve expanding data center load.</t>
  </si>
  <si>
    <t>Hutchinson Rebuild and 115 kV Conversion</t>
  </si>
  <si>
    <t>Rebuild existing 69 kV transmission lines between the existing GRE transmission and Hutchinson Municipal 115/69 kV substation to a 115 kV standard for a future 115 kV operation. Within this project, the existing lines and infrastructure are owned by Hutchinson Utilities Commission. This compliments MTEP Project 50873.</t>
  </si>
  <si>
    <t>Inverhills TR10</t>
  </si>
  <si>
    <t>Install 2nd 345kV/115kV transformer at Inverhills.</t>
  </si>
  <si>
    <t>Mitigates N-1-1 overload conditions.</t>
  </si>
  <si>
    <t>Pratt - Frazier Pike 115kV: New Transmission Line</t>
  </si>
  <si>
    <t>Construct a new Pratt - Frazier Pike 115kV approximate seven mile transmission line at a 1500 Amp (300MVA) minimum. A new switching station called Pratt will be constructed on the LR South - Wrightsville 115kV line.</t>
  </si>
  <si>
    <t>This project is needed to serve additional load in the Little Rock Port industrial area. Existing customers will also receive improved reliability and a reduction in operational challenges. There will be a mitigation of thermal overloads and low voltage concerns for the loss of the Wrightsville - Little Rock 145th 115kV line section or the loss of the Wrightsville - Frazier Pike breaker to breaker 115kV line.</t>
  </si>
  <si>
    <t>Alexandria, Big Stone South &amp; Riverview Reactors</t>
  </si>
  <si>
    <t>Install reactors at Alexandria, Big Stone South &amp; Riverview substations.
Alexandria:  2 50 Mvar
Big Stone South:  70 Mvar
Riverview:  50 Mvar, 40 Mvar</t>
  </si>
  <si>
    <t>Correct elevated voltage due to regional transmission projects.</t>
  </si>
  <si>
    <t>Physical Security Program 2027 ISD Asset Renewal</t>
  </si>
  <si>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2027.</t>
  </si>
  <si>
    <t>Physical Security Program 2028 ISD Asset Renewal</t>
  </si>
  <si>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2028.</t>
  </si>
  <si>
    <t>Burlington Generation - Deeds 1 161kV Sag Remediation</t>
  </si>
  <si>
    <t>Remove all existing sag limits on Burlington Generation – Deeds 1 161kV line to raise 636 ACSR to full summer conductor rating.</t>
  </si>
  <si>
    <t>Address deliverability constraint in MTEP 25</t>
  </si>
  <si>
    <t>Iowa Falls Industrial T4 Replacement</t>
  </si>
  <si>
    <t>Replace T4 at the Iowa Falls Industrial sub with a new 150 MVA nameplate, 161/69 kV transformer.</t>
  </si>
  <si>
    <t>New Westwood to LEAP 345 kV Lines</t>
  </si>
  <si>
    <t>Construct new ~35mi double circuited 345kV line from Westwood to new Mechanicsburg station at 954 ACSS @ 200C or 4000A equivalent conductor for a rating of 2432MVA per line. Construct new ~10mi double circuited 345kV line from new Mechanicsburg substation into LEAP. Upgrade AEP Dequine to Westwood 2.63 miles to 6-wire using existing 345 ckts. combined in parallel and build additional new higher capacity ckt.; Substation expansions/reconfig at Dequine/Westwood</t>
  </si>
  <si>
    <t>This project is driven by recent EPR submissions and replacement for several associated rebuilds that would be required otherwise</t>
  </si>
  <si>
    <t>Rebuild Citizens 69kV Line (Groups A &amp; B)</t>
  </si>
  <si>
    <t>Rebuild 69kV line group on CEC 69 kV System - Phase 1</t>
  </si>
  <si>
    <t>Rebuild Citizens 69kV Line (Groups C &amp; E)</t>
  </si>
  <si>
    <t>Rebuild 69kV line group  on CEC 69 kV System - Phase 2</t>
  </si>
  <si>
    <t>Upgrade New Bourbon bus tie breaker (B40)</t>
  </si>
  <si>
    <t>Replace B40 bus tie breaker.</t>
  </si>
  <si>
    <t>Replace B40 bus tie breaker that had several issues at New Bourbon. Had trouble while they were operating the breaker to put the station back in service after maintenance.</t>
  </si>
  <si>
    <t>New Mulligan Storage (S1048) Fogarty Surplus 138 kV Interconnection</t>
  </si>
  <si>
    <t>Accommodate for Mulligan Storage 47.11 MVA BESS generating facility under Surplus GIA S1048.</t>
  </si>
  <si>
    <t>J1851 115 kV Interconnection on Beekman to Crossett North 115 kV</t>
  </si>
  <si>
    <t>Facilities required to interconnect a new generator on the Beekman to Crossett North 115 kV line in North Louisiana.  POI station will be configured as a three-breaker ring bus.</t>
  </si>
  <si>
    <t>J1851 has signed a GIA for a new facility in North Louisiana.</t>
  </si>
  <si>
    <t>Townline Rd - Rock River 138 kV, Construct New Line</t>
  </si>
  <si>
    <t>Construct a 3rd 138 kV circuit between Townline Rd and Rock River (&lt;0.5mi). The project will resolve reliability issues and eliminate the need to curtail local generation during outages.</t>
  </si>
  <si>
    <t>Upgrade Montgomery 345 kV terminal equipment</t>
  </si>
  <si>
    <t>Upgrade Montgomery bus/terminal equipment to 4000 A</t>
  </si>
  <si>
    <t>Load growth</t>
  </si>
  <si>
    <t>Apply Pike – Peno Creek 161 kV E3X</t>
  </si>
  <si>
    <t>Add E3X coating to Pike – Peno Creek 161 kV to increase ampacity</t>
  </si>
  <si>
    <t>TPL-001-5.1 SPFs Phase 2, Address Remaining 13c and 13d</t>
  </si>
  <si>
    <t>Address TPL-001-5.1 Footnote 13 Single Points of Failure (SPFs) types 13c and 13d at stations that were not included in the Phase 1 project (PI2/ PR09244). Install battery monitoring to meet the TPL-001-5.1 Footnote 13c exception and PRC-005-6 maintenance requirements at each of the ATC-owned, BES, non-redundant dc supplies in the attached list. 
Install battery monitoring to meet the TPL-001-5.1 Footnote 13.c exception at each of the LDC-owned, BES, non-redundant dc supplies. Rewiring of relays is specified in substation SPF Assessments where required for TPL-001-5.1 Footnote 13d.</t>
  </si>
  <si>
    <t>Reliability, Asset Renewal</t>
  </si>
  <si>
    <t>J1872 &amp; J1873 MPFCA El Dorado 500kV Point of Interconnection</t>
  </si>
  <si>
    <t>The El Dorado 500kV station will be expanded to facilitate the interconnection of J1872 and J1873. Two 500kV IPO 4000 Amp 63 kA breakers will be installed and all other supporting equipment. The interconnection facilities will consist of triple bundled 954 Rail ACSR conductor.</t>
  </si>
  <si>
    <t>This project is needed to interconnect J1872 (250MW) and J1873 (250MW) solar farms that are requesting ERIS service only.</t>
  </si>
  <si>
    <t>Upgrade Kincaid-Austin-4522 C1801 MPFCA 345 kV Line</t>
  </si>
  <si>
    <t>Upgrade 5.5 miles of circuit 1 (rebuild) for the Austin - Kincaid 345 kV transmission line to reduce the overload identified in the PJM Affected System study. Impacted Generators are J955, J956, J976, J1025, J1026, J1145, J1182.</t>
  </si>
  <si>
    <t>J1870 GIA Interconnection at Independence 230 kV</t>
  </si>
  <si>
    <t>Facilities required for the Interconnection of J1870 at Independence 230 kV Station.</t>
  </si>
  <si>
    <t>J1870 has a signed GIA.</t>
  </si>
  <si>
    <t>J1646 IC Facilities</t>
  </si>
  <si>
    <t>Create new position at Morrison Ditch to
accommodate the J1646 generation tie line
to a 150 MW Solar Facility.</t>
  </si>
  <si>
    <t>AECC Dell-500 Rebuild</t>
  </si>
  <si>
    <t>AECC will be adding a fourth 250 MVA, 500kV to 161 kV  autotransformer to the existing Dell 500 kV
 substation and reconfiguring the 161 kV low side to a breaker and half configuration.</t>
  </si>
  <si>
    <t>Rebuilding Dell 500 by adding a fourth autotransformer and reconfiguring the 161 kV side will allow for transfer of network load between Entergy and AECC during certain future P6 event NERC violations to improve the voltage. It will also provide more operational flexibilty between clean and furnace load when performing required or unscheduled maintenance for two large steel mills.</t>
  </si>
  <si>
    <t>Southern Hills-Booneville 345 kV Line Uprate</t>
  </si>
  <si>
    <t>Replace transmission line structures to increase 345 kV line rating.</t>
  </si>
  <si>
    <t>New 300 MVAR Cap Bank at Truett 345 kV Substation</t>
  </si>
  <si>
    <t>Add 300 MVAR Cap Bank at Truett 345 kV Substation</t>
  </si>
  <si>
    <t>Voltage support due to increased load. Resolves violations observed for multiple P6 events.</t>
  </si>
  <si>
    <t>Sheffield Substation Battery and Trip Coil Monitoring</t>
  </si>
  <si>
    <t>Project to add monitoring to NIPSCO Sheffield 138kV substation to mitigate NERC TPL-001-5 P5 violation tied to data center load addition.</t>
  </si>
  <si>
    <t>To mitigate a NERC TPL-001-5 P5 violation tied to a data center load addition near Sheffield substation.</t>
  </si>
  <si>
    <t>E0014 GIA at Smalling 230 kV</t>
  </si>
  <si>
    <t>Facilities required to connect two 1x1 CCCTs at the Smalling 230 kV station per the executed E0014 GIA.</t>
  </si>
  <si>
    <t>GIA was executed.</t>
  </si>
  <si>
    <t>J2143 Lake Village Bagby 115kV Point of Interconnection</t>
  </si>
  <si>
    <t>The Lake Village Bagby 115kV station will be expanded with the addition of a single 115kV breaker, one dead end structure, and associated equipment.</t>
  </si>
  <si>
    <t>This project is needed to interconnect the J2143 250MW ERIS only solar facility.</t>
  </si>
  <si>
    <t>J2153 Ashley 115kV expansion</t>
  </si>
  <si>
    <t>The project will expand the Ashley switching station to a 4 breaker ring bus with new remote end relaying at Crossett North and Lake Village Bagby 115kV stations.</t>
  </si>
  <si>
    <t>This project is needed to interconnect J2153 that is a ERIS only 134 MW solar and 134 MW BESS.</t>
  </si>
  <si>
    <t>Upgrade Sioux-Roxford 138 kV Lines</t>
  </si>
  <si>
    <t>Increase ampacity of both Sioux-Roxford-6704 &amp; Sioux-Roxford-6700 138 kV lines.</t>
  </si>
  <si>
    <t>Upgrades required for increased load in the area. 1600 A minimum needed to resolve violations.</t>
  </si>
  <si>
    <t>Project Benton</t>
  </si>
  <si>
    <t>ITCT to build 2 new 6-row 345 kV stations to accommodate Project Benton. Both the Majestic-Milan and Majestic-Lemoyne 345 kV lines will be cut into both stations. ITCT will install capacitor banks on the high-side and DTE will install capacitor banks connected to the 34.5 kV side.</t>
  </si>
  <si>
    <t>DTE interconnection request for a new station to serve 1383 MW of load for a new industrial customer.</t>
  </si>
  <si>
    <t>New Victor 138 kV Capacitor Bank</t>
  </si>
  <si>
    <t>Install 30 MVAR capacitor bank at Victor 138 kV</t>
  </si>
  <si>
    <t>Provides voltage support in the Valmeyer, IL &amp; Festus, MO areas. Mitigates low voltage violations for 138 kV P6 event of Beehive-DupoFerry-1579 &amp; Selma-Rivermines-2 OR the P6 event of Beehive-DupoFerry-1579 &amp; Cahokia-DupoFerry-1402. Voltages as low as 0.91 pu.</t>
  </si>
  <si>
    <t>Upgrade Baumgartner-Watson-1 138 kV Line</t>
  </si>
  <si>
    <t>Upgrade approximately 4.35 miles of existing line conductor from Lakeshire Tap to Watson 138 kV substation of the existing Baumgartner-Watson-1 138 kV line to have a minimum continuous summer emergency capability of 1200 amps. This addresses thermal constraints on the Baumgartner-Watson-1 138 kV line for the P6 event of Beehive-Watson-1351 &amp; Central-Watson-1 138 kV lines.</t>
  </si>
  <si>
    <t>Addresses thermal violations</t>
  </si>
  <si>
    <t>New Hobart 345 kV Load Addition</t>
  </si>
  <si>
    <t>1500MW Load Addition that will loop into 345kV circuit Lake George-Schahfer. A new line will be built from Green Acres to the load addition site.</t>
  </si>
  <si>
    <t>New Schahfer 345 kV Load Addition</t>
  </si>
  <si>
    <t>800MW Load addition at Schahfer 345kV substation.</t>
  </si>
  <si>
    <t>Upgrade Wildwood-GraySummit-2 138 kV Line to 2000 Amps</t>
  </si>
  <si>
    <t>Upgrade approximately 14.88 miles of the Wildwood-Gray Summit-2 138 kV line to have a minimum continuous summer emergency capability of 2000 Amps.</t>
  </si>
  <si>
    <t>Addresses thermal violations caused by the P6 event of Mason-Labadie-3 &amp; Mason-Labadie-4 345 kV lines.</t>
  </si>
  <si>
    <t>E0012 SS Network Upgrades and Interconnection Facilities</t>
  </si>
  <si>
    <t>Construct a new 345 kV E0012 switching station on property provided by the Interconnection Customer adjacent to the existing 345 kV double circuits in Kenosha County, WI.</t>
  </si>
  <si>
    <t>New Crossroads 345 kV Transmission Station and Load</t>
  </si>
  <si>
    <t>Construct a new 345 kV breaker and a half station and interconnect a new 300 MW (98.61 MVAR) load approximately 3 miles northwest of Carlisle, Indiana.
The new station will bring the existing Gibson – Merom 345 kV, Merom – Worthington 345 kV, and Petersburg – Sullivan 345 kV lines into a new BAAH station. Extending the Merom – Worthington 345 kV line through the site requires the construction of approximately 10 new miles of 345 kV line.
These lines are currently being modified in the existing MTEP 51093 project where they are being brought into the new Gill 345 kV station. This will result in a final topology for these branches being as follows:
1.	Gibson – Crossroads – J1786 – Gill – Merom
2.	Petersburg – Crossroads – Gill – Sullivan
3.	Worthington – Crossroads – Gill - Merom</t>
  </si>
  <si>
    <t>To connect a new 300 MW load, it is necessary to construct a new transmission station and interconnect the described transmission lines.</t>
  </si>
  <si>
    <t>CCS 115 kV Station</t>
  </si>
  <si>
    <t>Entergy is proposing to construct a new radial 115 kV station named CCS to serve an existing customer expansion in Yazoo City, MS.</t>
  </si>
  <si>
    <t>Entergy received request from customer adding new load in Yazoo City, MS</t>
  </si>
  <si>
    <t>Bolton 115 kV Expand Station (J2173)</t>
  </si>
  <si>
    <t>The Bolton 115 kV station will be expanded to interconnect J2173.</t>
  </si>
  <si>
    <t>This project is needed to facilitate the interconnection of J2173 solar generating facility.</t>
  </si>
  <si>
    <t>New Trail Creek 138 kV Load Addition</t>
  </si>
  <si>
    <t>300MW served at Trail Creek 138kV substation</t>
  </si>
  <si>
    <t>New Project Raider Cap Banks 69 kV</t>
  </si>
  <si>
    <t>Adding 62.4 MVAR of cap banks at Culley 69 kV, 2 15.6 MVAR cap banks at Leonard 69 kV and 2 15.6 MVAR cap banks at Northwest 69 kV.</t>
  </si>
  <si>
    <t>N-1-1 contingencies for October EPR.</t>
  </si>
  <si>
    <t>J1858 Sandy Bayou 500kV Point of Interconnection</t>
  </si>
  <si>
    <t>This project will interconnect J1858, a 440MW solar project near Osceola, Arkansas. The project will interconnect to the existing Sandy Bayou 500kV substation.</t>
  </si>
  <si>
    <t>J4146 Generator Interconnection at Green Acres 230 kV</t>
  </si>
  <si>
    <t>Facilities required for the Interconnection of J4146 at the Green Acres 230 kV.</t>
  </si>
  <si>
    <t>J4146 has signed GIA</t>
  </si>
  <si>
    <t>New Merom to Gill 345 kV Line addition</t>
  </si>
  <si>
    <t>Construct an additional circuit between Merom 345 kV station and Gill 345 kV station.</t>
  </si>
  <si>
    <t>Mitigation required due to results of P6 scenarios in the EPR analysis.</t>
  </si>
  <si>
    <t>J2088 Nash Corner 500kV Switching Station Point of Interconnection</t>
  </si>
  <si>
    <t>J2088 has an executed GIA for a 400 MW ERIS solar project that will interconnect on the KEO - Wheatley 500kV line.</t>
  </si>
  <si>
    <t>McAdams 230 kV: Solar Interconnection (J1891)</t>
  </si>
  <si>
    <t>Interconnect a 200 MW solar hybrid generation facility to the McAdams 230 kV substation</t>
  </si>
  <si>
    <t>This project is needed to interconnect the J1891 generator interconnection agreement project for a 200 MW solar hybrid facility.</t>
  </si>
  <si>
    <t>J2181 Dearman 161kV Switching Station Point of Interconnection</t>
  </si>
  <si>
    <t>J2181 has an executed GIA for 200 MW of ERIS on the AECC Dell East - Blytheville Elm Street 161kV line section.</t>
  </si>
  <si>
    <t>J2165 230kV Interconnection on Jacinto to Batiste Creek 230 kV</t>
  </si>
  <si>
    <t>Facilities required to interconnect a new generator on the Jacinto to Batiste Creek 230 kV.  POI station will be configured as a three-breaker ring bus.</t>
  </si>
  <si>
    <t>J2165 has signed GIA for a new facility</t>
  </si>
  <si>
    <t>J2237 Flat Fork 230kV Expansion for Point of Interconnection</t>
  </si>
  <si>
    <t>J2237 has an executed GIA that requires expansion of the existing Flat Fork 230kV switching station to interconnect a solar project for 185 MW of ERIS.</t>
  </si>
  <si>
    <t>J1897/J1899/J2190 Steel Grove 500kV SS Point of Interconnection</t>
  </si>
  <si>
    <t>J1897/J1899/J2190 have executed a multi party facilities construction agreement and generator interconnection agreements for 500MW ERIS and 425MW NRIS of solar each. For a combined total of 1500MW of ERIS and 1275 MW of NRIS. A new 500kV switching station will be constructed to interconnect all three projects.</t>
  </si>
  <si>
    <t>J2089 Wilson Junction 161kV SS Point of Interconnection</t>
  </si>
  <si>
    <t>J2089 is a 200MW solar ERIS project that is requesting interconnection on the Dell - AECC Manila 161kV line.</t>
  </si>
  <si>
    <t>Innovation Park SS, DIC, New Substation</t>
  </si>
  <si>
    <t>Construct a new distribution substation that will include 138kV to 7.2/12.47 kV transformers with an LTC, 138kV 3-phase protective devices such as a circuit switcher or breaker on the high voltage side, reclosers or breakers on the low voltage side, and other substation structures and equipment.</t>
  </si>
  <si>
    <t>Station Equipment Upgrade - WILLOW RUN</t>
  </si>
  <si>
    <t>Upgrade breaker "HJ" CTs at Willow Run Station.</t>
  </si>
  <si>
    <t>Willow Run breaker "HJ" is projected to marginally overload in P7 contingency involving the loss of Alamo-Dayton and Dayton-Collins in the 5-year case.</t>
  </si>
  <si>
    <t>Shetek Substation</t>
  </si>
  <si>
    <t>New distribution substation to replace degraded Tracy Switching Station</t>
  </si>
  <si>
    <t>Tracy Switching Station equipment is at end of life and in need of expansion. Current footprint is inadequate for expansion.</t>
  </si>
  <si>
    <t>Upgrade Sag on Lark-Washtenaw Jct. 138 kV</t>
  </si>
  <si>
    <t>Completely remove the sag limit on the 25.16 mile, 477 ACSR 26/7 section of the Lark-Washtenaw-Leoni 138 kV circuit. Upgrade the Lark-Washtenaw 138 kV line to the 477 ACSR conductor limit. All upgrades to a minimum SE 196MVA.</t>
  </si>
  <si>
    <t>The Lark-Washtenaw line is projected to overload due to P2, P6, P7 and P5 contingencies in 5- and 10- year cases in MISO MTEP25 D3 and D6 study.</t>
  </si>
  <si>
    <t>J2261 &amp; J2262 Campbell 500kV SS Point of Interconnection</t>
  </si>
  <si>
    <t>J2261 and J2262 have executed a GIA for ERIS interconnection of 625 MWs of solar each. A new 4 breaker ring bus switching station will be constructed to interconnect both solar projects.</t>
  </si>
  <si>
    <t>J2075 230kV Interconnection on Batiste Creek to China 230 kV</t>
  </si>
  <si>
    <t>Facilities required to interconnect a new generator on the Batiste Creek to China  230 kV.  POI station will be configured as a three-breaker ring bus.</t>
  </si>
  <si>
    <t>J2075 has signed GIA for a new facility</t>
  </si>
  <si>
    <t>J2228 115 kV Interconnection at Red Gum 115 kV</t>
  </si>
  <si>
    <t>Facilities required to interconnect a new generator at J2228 at Red Gum 115 kV.</t>
  </si>
  <si>
    <t>J2228 has signed GIA.</t>
  </si>
  <si>
    <t>J1904 138 kV Interconnection at Richard 138 kV</t>
  </si>
  <si>
    <t>Facilities required to interconnect a new generator at J1904 at Richard 138 kV.</t>
  </si>
  <si>
    <t>J1904 has signed GIA</t>
  </si>
  <si>
    <t>J2292 230 kV Interconnection at Goos Ferry 230 kV</t>
  </si>
  <si>
    <t>Facilities required to interconnect a new generator J2292 at Goos Ferry 230 kV</t>
  </si>
  <si>
    <t>J2292 has signed GIA.</t>
  </si>
  <si>
    <t>J2302 New 500 kV Switching stationPoint of Interconnection</t>
  </si>
  <si>
    <t>J2302 has executed GIA for 400 MW NRIS Hybrid Solar project that will interconnect on Plant Daniel - McKnight 500 kV line.</t>
  </si>
  <si>
    <t>MidAmerican Energy Upgrades for MTEP 50775 Linn County 620 MW Load Addition</t>
  </si>
  <si>
    <t>Transmission line structure replacements on MidAmerican's section of the Hazleton-Arnold 345 kV line to increase the line rating.</t>
  </si>
  <si>
    <t>The project need is to address post-contingent overloads on the Hazleton-Arnold 345 kV line identified in MISO’s EPR reliability analysis of MTEP 50775 Linn County 620 MW Load Addition. Corrective action.</t>
  </si>
  <si>
    <t>Rebuild Carbide Tap-Viele 161 kV line (JUA AECI/NE Power)</t>
  </si>
  <si>
    <t>Ameren Missouri has entered into an agreement with Northeast Missouri Electric Cooperative to rebuild approximately 7.2 miles of the Ameren Missouri Palmyra-Viele-2 161 kV line to double circuit to allow Northeast to connect a new 161 kV line from their Franklin Substation in Lee County, Iowa to their Winchester Substation in Clarke County, Missouri. Per the terms of the agreement, Northeast will be responsible for design and construction for this project. The Ameren Missouri portion of the rebuild will be constructed with 795 ACSR "Drake" conductor and OPGW. Northeast Missouri Electric Cooperative will own the double circuit poles, NEP conductor, insulators, and 1 OPGW static wire.</t>
  </si>
  <si>
    <t>Required per JUA with AECI/NE Power</t>
  </si>
  <si>
    <t>New Stallings-Roxford-4581 345 kV Temporary Tap (Truett Phase 0.5)</t>
  </si>
  <si>
    <t>Construct temporary tap on Stallings-Roxford-4581 345 kV line to serve 300 MW of customer load. This is temporary until the new Truett 345 kV BAAH substation can be built.</t>
  </si>
  <si>
    <t>Customer load request</t>
  </si>
  <si>
    <t>New Load Addition at New Truett 345 kV Substation (Truett Phase 1)</t>
  </si>
  <si>
    <t>Construct a new 345 kV 10 position ultimate BAAH bus arrangement for the connection of 1000 MW customer load addition. New Truett 345 kV substation will split the existing Stallings-Roxford-4581 345 kV line.</t>
  </si>
  <si>
    <t>New 345 kV Lines for New Truett Load Addition (Truett Phase 2)</t>
  </si>
  <si>
    <t>Construct three new 345 kV lines from Coffeen, Moro, Truett, and Stallings 345 kV substations to support an additional 500 MW of customer load at Truett 345 kV substation. Resolves thermal and voltage violations observed for multiple P6 events.</t>
  </si>
  <si>
    <t>J1684 IC Facilities</t>
  </si>
  <si>
    <t>New 345 kV breaker-and-a-half (BAAH) substation that will be tapped into Transmission Owner’s 34540 Burr Oak to Hinshaw line.  
Tap in / tap out facilities from 34540 Burr Oak to Hinshaw line to new substation. Modify existing line protection firmware at remote end to match the firmware at the new substation.</t>
  </si>
  <si>
    <t>IC Facilities</t>
  </si>
  <si>
    <t>CLECO POWER LLC CLEC</t>
  </si>
  <si>
    <t>Rebuild Rodemacher to East Leesville</t>
  </si>
  <si>
    <t>Reconductor Rodemacher to East Leesville to increase the line rating to above 800 MVA.</t>
  </si>
  <si>
    <t>2025 MISO Deliverability study showed this line overloaded and requested mitigation.</t>
  </si>
  <si>
    <t>Upgrade Sag on Aphis-Meyer 138 kV line</t>
  </si>
  <si>
    <t>Upgrade the sag on Aphis - Meyer 138 kV line. All upgrades to a minimum SE 291MVA.</t>
  </si>
  <si>
    <t>The Aphis - Meyer 138 kV line was projected to overload in MISO's MTEP25 generator deliverability study.</t>
  </si>
  <si>
    <t>Upgrade Mud Lake - Verona #2 138 kV</t>
  </si>
  <si>
    <t>METC is to upgrade Mud Lake - Verona #2 138 kV. Rebuild to 1431 ACSR conductor from structure 52544 to Verona using double circuit structures. Reconductor to 1431 ACSR (if possible) or 954 ACSS from Mud Lake to structure 52544. Upgrade station equipment at Verona. Upgrade line drop 388. The line is approximately 5.58 miles. OPGW will be installed as needed. All line switches will be 2000A or greater, if replaced.</t>
  </si>
  <si>
    <t>The Mud Lake - Verona #2 138 kV line was projected to overload in MISO's MTEP25 generator deliverability study.</t>
  </si>
  <si>
    <t>J2317 115 kV interconnection on Sterlington - Bastrop 115 kV</t>
  </si>
  <si>
    <t>Facilities required to interconnect a new generator on the Sterlington - Bastrop 115 kV. POI station will be configured as a three-breaker ring bus.</t>
  </si>
  <si>
    <t>J2317 has signed GIA for a new facility</t>
  </si>
  <si>
    <t>Council Creek SS Relay Asset Renewal</t>
  </si>
  <si>
    <t>Replace 69kV fused capacitor bank, circuit switcher, and other various assets.</t>
  </si>
  <si>
    <t>Munising SS AR Asset Renewal</t>
  </si>
  <si>
    <t>Replace various CVB disconnects, circuit switchers, and other substation equipment.</t>
  </si>
  <si>
    <t>J1849 GIA at Cypress 230 kV Station</t>
  </si>
  <si>
    <t>Facilities required to interconnect J1849 to the existing Cypress 230 kV station.</t>
  </si>
  <si>
    <t>J1849 has executed a GIA.</t>
  </si>
  <si>
    <t>Webster and Lehigh Substation Terminal Equipment Upgrades</t>
  </si>
  <si>
    <t>This project is to remove wave traps at the Webster and Lehigh 345 kV Substations. Relaying will also be replaced at both substations. Completing this work will increase the Webster to Lehigh 345 kV line rating.</t>
  </si>
  <si>
    <t>The Webster to Lehigh 345 kV line congestion was studied as part of MidAmerican's local stakeholder planning process using PROMOD models. The project showed good benefits to MidAmerican's LBA.</t>
  </si>
  <si>
    <t>Buffalo Power Station 2 Interconnection</t>
  </si>
  <si>
    <t>New 3 way tap structure to accommodate MMPA interconnection tying into 69kV line between the Buffalo 3 way tap and Maple Lake.</t>
  </si>
  <si>
    <t>Transmission interconnection request from MMPA</t>
  </si>
  <si>
    <t>East Shakopee Interconnection</t>
  </si>
  <si>
    <t>New 3 way tap structure to accommodate MMPA East Shakopee interconnection on Black Dog - Blue Lake 115kV line.</t>
  </si>
  <si>
    <t>Accommodate MMPA interconnection request.</t>
  </si>
  <si>
    <t>Project Diamond Farms Temporary Taps</t>
  </si>
  <si>
    <t>Construct temporary taps on Gray Summit-Tyson 345 kV lines to serve 350 MW of customer load. This is temporary until the new Project Diamond 345 kV BAAH substation can be built.</t>
  </si>
  <si>
    <t>Customer Load Request</t>
  </si>
  <si>
    <t>New 345 kV Substation for Project Diamond Farms Load Addition</t>
  </si>
  <si>
    <t>Construct a new 345 kV substation, 12 position ultimate BAAH bus arrangement for the connection of 1000 MW load addition.</t>
  </si>
  <si>
    <t>Southern Illinois Power Cooperative</t>
  </si>
  <si>
    <t>Creal Springs 69 kV Switchyard</t>
  </si>
  <si>
    <t>Construction of a new 69 kV switchyard for the interconnection of a 25 MW solar generator</t>
  </si>
  <si>
    <t>Yellow Banks 69 kV Switchyard Bay Expansion</t>
  </si>
  <si>
    <t>Construct an additional 69 kV bay at the existing SIPC Yellow Banks Switchyard for the interconnection of a 45 MW solar generator</t>
  </si>
  <si>
    <t>L163 (Moselle 161 - Station Creek 161) Uprate</t>
  </si>
  <si>
    <t>Uprate L163 (Moselle 161 - Station Creek 161) to increase the line's rating.</t>
  </si>
  <si>
    <t>J2249 GIA at Bayou Cove 138 kV</t>
  </si>
  <si>
    <t>Facilities required for interconnection of J2249.</t>
  </si>
  <si>
    <t>J2249 has executed a GIA.</t>
  </si>
  <si>
    <t>J2071 GIA POI on Cypress to Rye 138 kV</t>
  </si>
  <si>
    <t>Facilities required to connect J2071</t>
  </si>
  <si>
    <t>J2071 executed a GIA</t>
  </si>
  <si>
    <t>DETEC-Horton Hill to Weirgate 138kV conversion</t>
  </si>
  <si>
    <t>ETEC and its member cooperative, Deep East Texas Cooperative (DETEC) will convert an existing 69kV line from Pineland 69kV to Wiergate to 138kV and establish a new interconnection at DETEC-Horton Hill. ETEC will then loop the SPP 138kV system into a new 138kV switching station cut in along the Entergy Newton Bulk to Leach 138kV transmission line.</t>
  </si>
  <si>
    <t>This project has been created to address voltage issues in MISO system (N-1-1) pursuant to the Planning Criteria and address ETEC local planning criteria violations in SPP.</t>
  </si>
  <si>
    <t>Arrester Asset Renewal Program 2029</t>
  </si>
  <si>
    <t>Asset Renewal of non-standard Line Side and Transformer arresters with ATC Standard arresters.  Relocate arresters on the Bus to the Line Side of the breakers to improve protection of the breaker from lightning strikes close to the station.</t>
  </si>
  <si>
    <t>Garant Bayou 161kV: New Switching Station</t>
  </si>
  <si>
    <t>Entergy will need to construct a new 161kV three breaker ring switching station on the Parkin – Kuhn Road 161kV line to serve a new 95 MW customer near Marion, AR. A new 36 MVAR capacitor bank will be installed in the 161kV switching station.</t>
  </si>
  <si>
    <t>Entergy received a request from a customer adding new load near Marion, AR.  Upgrades, including this facility, have been identified as needed due to the load growth.</t>
  </si>
  <si>
    <t>Y-95 Sectionalizing Project</t>
  </si>
  <si>
    <t>Build substation that will also incorporate distribution, build double circuit 69 kV line to tie into the existing tap, and retire portion of existing Y-95.</t>
  </si>
  <si>
    <t>Network Reliability</t>
  </si>
  <si>
    <t>New Gallagher 230 kV Load Addition</t>
  </si>
  <si>
    <t>Interconnection to existing Gallagher 230 kV infrastructure for approximately 150 MW of crypto load.</t>
  </si>
  <si>
    <t>New large customer load.</t>
  </si>
  <si>
    <t>New Prague West Substation Improvements</t>
  </si>
  <si>
    <t>New 69 kV PTs and a Switch.</t>
  </si>
  <si>
    <t>The PTs are needed for telemetry and generation metering. The switch is needed for flexibility and future maintenance.</t>
  </si>
  <si>
    <t>Rebuild Leatherneck 138 kV Ring Bus</t>
  </si>
  <si>
    <t>Rebuild the current transmission facilities of Macomb West as a greenfield 138 kV as a five position, six ultimate ring bus (named Leatherback LETH). Reterminate MCBW-MCNE-1, MONU-MCBW-1646, and IPVA-MCBW-1429 into the new station. Build two new 138 kV tie lines back to the existing transformers at Macomb West.</t>
  </si>
  <si>
    <t>Aging infrastructure conditions at Macomb West were noted and necessitated the replacement of a significant amount of equipment. The current station is a straight bus and has a non-standard layout. The ring bus provides operational, reliability, and maintenance benefits over the existing straight bus. Upgrades at the existing site may be difficult to construct.</t>
  </si>
  <si>
    <t>CEDAR FALLS MUNICIPAL ELECTRIC UTILITY</t>
  </si>
  <si>
    <t>Viking Large Load Addition</t>
  </si>
  <si>
    <t>New load is planned for a new customer substation off of a short radial 161 kV line from the CFU Viking substation.</t>
  </si>
  <si>
    <t>New Load.</t>
  </si>
  <si>
    <t>OTP Britton Tie Rebuild</t>
  </si>
  <si>
    <t>Rebuild OTP's Britton emergency 69/41.6 kV tie replacing aging and limiting transformer with new transformer.</t>
  </si>
  <si>
    <t>Aging infrastructure and transformer that is also too small to support load. Larger transformer is needed to support reliability.</t>
  </si>
  <si>
    <t>Van Meter 161 kV Substation and Associated 161 kV Upgrades</t>
  </si>
  <si>
    <t>Construct new Van Meter 161 kV Substation and 161 kV lines</t>
  </si>
  <si>
    <t>Upgrades needed for large load customer</t>
  </si>
  <si>
    <t>East Shawano SS Relay Asset Renewal</t>
  </si>
  <si>
    <t>Install new control building and contents, replace line relay panels on 85851 and 26523 with ATC standard, and install new 138kV Bus 4 differential panel.</t>
  </si>
  <si>
    <t>West Shawano SS Relay Asset Renewal</t>
  </si>
  <si>
    <t>Install new control building and contents, replace line relay panels on 85851 and 86504 with ATC standard, and install new 138kV Bus 4 differential panel.</t>
  </si>
  <si>
    <t>Wishek NW Data Center Load Addition</t>
  </si>
  <si>
    <t>MDU has a new 50 MW customer requesting service at the Wishek NW substation.</t>
  </si>
  <si>
    <t>Project Cannoli</t>
  </si>
  <si>
    <t>ITCT will build a 345 kV station to accommodate Project Cannoli. Both the Brownstown-Wayne #1 and Brownstown-Wayne #2 345 kV lines will be cut into the station. ITCT will install capacitor banks at the station.</t>
  </si>
  <si>
    <t>DTE interconnection request for a new station to serve 1000 MW of load for a new industrial customer.</t>
  </si>
  <si>
    <t>New Edwards 3 BESS (R1055) 138 kV Interconnection</t>
  </si>
  <si>
    <t>The Interconnection Customer has an Existing Generating Facility Edwards Unit Number 3 located in Peoria County, IL, rated at 428.0 MVA. Interconnection Customer plans to replace the Edwards Unit Number 3 Generating Facility with replacement Generating Facilities using battery energy storage system (BESS). The replacement Generating Facility under this GIA consists of a 160.0 MVA BESS facility, rated at 106.0 MW.</t>
  </si>
  <si>
    <t>E0002 New 345 kV Interconnection Substation and 345 kV Line Taps</t>
  </si>
  <si>
    <t>Construct new 345 kV POI substation and 345 kV line taps for E0002 combustion turbine.</t>
  </si>
  <si>
    <t>E0002 network upgrades from ERAS process</t>
  </si>
  <si>
    <t>New Reynolds 138 kV Delivery Point</t>
  </si>
  <si>
    <t>New 138 kV Reynolds Substation looping into the existing 138 kV transmission line 132 – 84, Camby to Mooresville across the street from the delivery point and then directly tie in the 132-97, Camby – Ralston transmission line. Expand Ralston 138 kV Substation to accommodate a second Ralston - Reynolds transmission line.</t>
  </si>
  <si>
    <t>Rebuild Gill to Sullivan 345kV transmission line</t>
  </si>
  <si>
    <t>Rebuild 13.6 miles from Gill to Sullivan 345kV transmission line.</t>
  </si>
  <si>
    <t>EPR (EPR cycle December) mitigation for N-1-1 and for Load growth.</t>
  </si>
  <si>
    <t>Galet 230kV: Expand Substation</t>
  </si>
  <si>
    <t>The Galet 230kV substation will be expanded by adding an additional breaker and a half bay for two additional radial 230kV lines to serve customer stations.</t>
  </si>
  <si>
    <t>EPR for customer load growth</t>
  </si>
  <si>
    <t>MINNKOTA POWER COOPERATIVE, INC MPCN</t>
  </si>
  <si>
    <t>Agassiz 345kv Substation and Load</t>
  </si>
  <si>
    <t>Addition of a 280 MW, power electronic-based load at a new substation Agassiz from tap of Maple River - Bison 345 kV. Project includes associated bus additions.</t>
  </si>
  <si>
    <t>New load</t>
  </si>
  <si>
    <t>138 kV Mobile Capacitor Banks</t>
  </si>
  <si>
    <t>Procure three mobile capacitor banks.  Two of the unit will be 138/115 kV installations.  The third unit could be a 138/115 kV or 69 kV installation.</t>
  </si>
  <si>
    <t>Reliability, Local Needs</t>
  </si>
  <si>
    <t>Badger Pumping SS, DIC, Retire Substation</t>
  </si>
  <si>
    <t>Retire ~7 miles of line Y-38 after the customer retires the Badger Pumping substation</t>
  </si>
  <si>
    <t>American SS, DIC, Transformer Addition</t>
  </si>
  <si>
    <t>Install two-line breakers and one bus-tie breaker at American SS to assist with new transformer addition by LDC customer.</t>
  </si>
  <si>
    <t>West Covington Substation</t>
  </si>
  <si>
    <t>Add West Covington substation at Madisonville - Ramsey 230kV line tap 3.83 miles from Madisonville substation.</t>
  </si>
  <si>
    <t>New West Covington substation will allow Cleco to fully backup the distribution circuits in the area and increase available capacity.</t>
  </si>
  <si>
    <t>Big Cedar 370 MW Load Addition</t>
  </si>
  <si>
    <t>Alliant Energy – Interstate Power and Light Company has requested service for an additional 370 MW of load at the Big Cedar Industrial Park. This 370 MW of additional load will be served from two new radial 345 kV feeds which will provide service to three additional customer owned substations.</t>
  </si>
  <si>
    <t>Serve additional 370 MW load request</t>
  </si>
  <si>
    <t>West Fork Creek 500-230 kV Station</t>
  </si>
  <si>
    <t>Entergy is proposing to construct a new 500/230 kV station named West Fork Creek to serve a customer load cut into the existing Car Gas Road-Smalling 500 kV line #1 and Car Gas Road-Smalling 500 kV line #2 in North Louisiana. 
The 230 kV station will feed the customer’s load at 230 kV auxiliary stations.</t>
  </si>
  <si>
    <t>Entergy received a request from a customer to add load in North Louisiana.  These facilities were identified as needed due to the load growth.</t>
  </si>
  <si>
    <t>West Fork Creek to St Landry 500 kV Project</t>
  </si>
  <si>
    <t>Entergy is proposing to construct:
•	New 500 kV St. Landry switching station cut into the Babel – Webre 500 kV line
•	Construct a ~153 mile 500 kV line from St Landry 500 kV to West Fork Creek 500 kV
•	Install one additional line bay at West Fork Creek 500 kV for the West Fork Creek – St. Landry 500 kV line
•	Install reactors at St Landry 500 kV and West Fork Creek 500 kV
•	Upgrade Wise 230 kV breakers S0436, S0439, S0442, S0306, S0309, S0338, S0279, S0282, S0285, S0102, S0105, S0108, S0142, S0147 to 80 kA.
•	Upgrade Iberville 230 kV breakers S1252, S1255, S1258, S1265 to 80 kA.
•	Upgrade Panama 230 kV breaker S2811 and Conway 230 kV breaker 20190 to 63 kA.</t>
  </si>
  <si>
    <t>Entergy received a request from a customer to add load in North Louisiana.  These facilities were identified as needed due to the load growth.
Short circuit analysis has revealed the need to upgrade the breakers listed in the project's scope due to fault interrupting capability.</t>
  </si>
  <si>
    <t>AR; LA</t>
  </si>
  <si>
    <t>El Dorado to Smalling 500 kV Project</t>
  </si>
  <si>
    <t>Entergy is proposing to construct
•	New ~ 86 mile (~60 miles in LA, ~26 miles in AR) El Dorado – Smalling 500 kV line
•	Upgrade 500 kV Breakers R4516 and R1430 at Perryville Substation to 50 kA
•	Upgrade 500 kV Breakers R5249, R9912, R2092, R7266, and R4582 at Sterlington Substation to 50 kA.
•	Upgrade 230 kV Point Pleasant Breaker S1589 to 63kA.</t>
  </si>
  <si>
    <t>Entergy received a request from a customer to add load in North Louisiana.  These facilities were identified as needed to maintain compliance with NERC TPL Standards and Entergy Transmission Local Planning Criteria following the addition of load.</t>
  </si>
  <si>
    <t>Prairie Flats Solar (J2273) New Position at Tabor 138 kV</t>
  </si>
  <si>
    <t>This project will construct a new 138 kV interconnection facility at Tabor Substation to serve as the Point of Interconnection for the Interconnection Customer's Generating Facility, Prairie Flats Solar, LLC. J2273.</t>
  </si>
  <si>
    <t>Fulton County Solar (J2186) New Position at Duck Creek 345 kV</t>
  </si>
  <si>
    <t>This project will construct a new 345 kV terminal position at Duck Creek to serve as the Point of Interconnection for the Interconnection Customer's Generating Facility, Fulton County Solar.  J2186.</t>
  </si>
  <si>
    <t>Hannover Data Center Load Addition</t>
  </si>
  <si>
    <t>Customer is requesting 430 MW of load near Hannover, ND. There will be a new substation on the Coyote-Center 345 kV line and a new line from the new Hannover Data Center substation to MP/GRE's Nelson Lake substation when it's complete</t>
  </si>
  <si>
    <t>New Greenbrier 345 kV Ring Bus on Denny - Zachary 345 kV line Sullivan Renewable Energy Center (E0013)</t>
  </si>
  <si>
    <t>A 345 kV 3-position ring bus, capable of future expansion to 6-positions, will be constructed to serve as the Point of Interconnection for Sullivan Renewable Energy Center (E0013). The new ring bus will be named Greenbrier.</t>
  </si>
  <si>
    <t>Marquette 230 kV New Substation</t>
  </si>
  <si>
    <t>Entergy is proposing to construct a new 230 kV station named Marquette to serve a new customer cut into the existing South Jackson - Rankin 230 kV line near Brandon, MS.  A new 61 MVAR capacitor bank will be installed in the switching station.
The Marquette 230 kV station will be a breaker and a half substation.</t>
  </si>
  <si>
    <t>Macaw 230 kV New Substation</t>
  </si>
  <si>
    <t>Proposal to construct a new 230 kV breaker and half switching station on the Ray Braswell – Clinton Industrial 230 kV line to serve a new customer near Clinton, MS.   Two 40.7 MVAR capacitor banks will be installed in the switching station.</t>
  </si>
  <si>
    <t>Central Minnesota Municipal Power Agency</t>
  </si>
  <si>
    <t>Blue Earth load driven facility upgrades</t>
  </si>
  <si>
    <t>CMMPA, on behalf of its member, Blue Earth Light &amp; Water (Blue Earth) plans to build facilities to support interconnection of 103 MW of new load.  
Additional Blue Earth load driven facility upgrades include: 
1) New Blue Earth Industrial Park Substation, 
2) Blue Earth Industrial Park Sub to West Sub new line, 
3) Blue Earth NE Sub to Industrial Park Sub new line, 
4) Rebuild Blue Earth North Sub to NE Sub 69 kV line,
5) Blue Earth North Substation 1st 161/69 Transformer Upgrade to 84-140 MVA.</t>
  </si>
  <si>
    <t>Add new industrial load for data center and an ammonia plant.</t>
  </si>
  <si>
    <t>Crown 230 kV Station - Jeff Davis Electric Co-op, Inc.</t>
  </si>
  <si>
    <t>Jeff Davis Electric Co-op, Inc. is proposing to construct a 230 kV station named Crown on the existing Sabine to Mud Lake 230 kV line.</t>
  </si>
  <si>
    <t>Local load serving and to close in a 230 kV loop from the Chalkley 230 kV station.</t>
  </si>
  <si>
    <t>New Quinn 161 kV Ring Bus for Millcreek (E0017)</t>
  </si>
  <si>
    <t>A 161 kV 3-position ring bus, capable of future expansion to 6-positions, will be constructed to serve as the Point of Interconnection for  Millcreek GIA E0017. The new ring bus will be named Quinn.</t>
  </si>
  <si>
    <t>New RECC Load Addition at Mogul 345 kV Substation (Phase 3)</t>
  </si>
  <si>
    <t>Install 270 MVAR Capacitor and upgrade Austin terminal equipment to allow for the increase load at Mogul 345 kV of 365 MW load addition.</t>
  </si>
  <si>
    <t>New Prairie Link 345 kV Load Addition</t>
  </si>
  <si>
    <t>Construct a new 345 kV substation splitting Pana-Austin and Kincaid-Austin 345 kV lines. Construct two (2) new 345 kV lines from Turner and Lanesville 345 kV substations. Install 300 Mvar reactive support at the new substation.</t>
  </si>
  <si>
    <t>S1096 North Arlington SS Network Upgrades</t>
  </si>
  <si>
    <t>Interconnection Customer shall install a 57.24 MVA facility. Interconnection Service provided is 50.3 MW of Surplus Interconnection Service under Project J1751.</t>
  </si>
  <si>
    <t>Monroe-Driftwood 345 kV Rebuild</t>
  </si>
  <si>
    <t>Rebuild the Monroe-Driftwood 345 kV line.</t>
  </si>
  <si>
    <t>The Monroe-Driftwood 345 kV line must be rebuilt due to system violations identified with Project Benton.</t>
  </si>
  <si>
    <t>New Hackman Phase 1 Load addition</t>
  </si>
  <si>
    <t>Construct a new 345 kV breaker-and-a-half transmission station on the 345 kV line between Prescott and Gwynneville east of Shelbyville to serve a new large load. The initial load is planned to grow to 300 MW (98.6 MVAR).</t>
  </si>
  <si>
    <t>New Hackman Phase 2 Load addition</t>
  </si>
  <si>
    <t>Expand Hoosier Energy's Milroy 69 kV station with a new 345 kV breaker and a half station called Rush County that interconnects with the 345 kV line between Hanna and Tanners Creek (between Gwynneville and Batesville after LRTP Tranche 2.1). Construct a new 14 mile 345 kV double circuit from Rush County to the Hackman station east of Shelbyville. Construct a new 69 kV line from the expanded Milroy station to Hoosier Pioneer 69 kV substation. Interconnect additional 600 MW (197.2 MVAR) at Hackman 345 kV station.</t>
  </si>
  <si>
    <t>To connect a new 600 MW load, it is necessary to construct a new transmission station and interconnect the described transmission lines.</t>
  </si>
  <si>
    <t>New Tallgrass 138/12 kV substation</t>
  </si>
  <si>
    <t>Construct a new 138kV distribution substation 9 miles northwest of Greensburg, Indiana. 
The new station will require a new, 0.5 mile tap off the existing DEI 13865 (HE Decatur – Shelbyville NE 138kV) line.</t>
  </si>
  <si>
    <t>An expanding customer in the St.Omer area can be more reliably served from the 138 kV system instead of the 69 kV system. Continuing service from the 69 kV system will require more substantial upgrades and coordination efforts with external utilities.</t>
  </si>
  <si>
    <t>DEMCO Juban Trails 500-230 kV Station</t>
  </si>
  <si>
    <t>Entergy wholesale customer DEMCO is proposing to construct a new 500-230 kV station named Juban Trails to serve a new customer cut into the existing Coly to Willow Glen 500 kV line in Livingston Parish LA</t>
  </si>
  <si>
    <t>Entergy received a request from DEMCO to add a new transmission station to serve new load in Livingston Parish, LA.</t>
  </si>
  <si>
    <t>Sheridan North Load Addition</t>
  </si>
  <si>
    <t>One of AECC's member cooperatives has a new customer that wants to add an 800 MW load. AECC plans to request a 500 kV position out of Entergy's Sheridan 500 kV switching station, construct a transmission substation which will serve the customer's distribution substation.</t>
  </si>
  <si>
    <t>Interconnection needed to serve a new 800 MW load.</t>
  </si>
  <si>
    <t>New Prairie Link 345 kV Temporary Connection</t>
  </si>
  <si>
    <t>Temporarily tap the Pana-Austin 345 kV line to supply Prairie Link customer load for 300 MW</t>
  </si>
  <si>
    <t>Brick Church - Zenda Tap 69 kV (Y-51 ALE), Partial Rebuild</t>
  </si>
  <si>
    <t>Rebuild T-line section between Brick Church and Zenda Tap for reliability needs</t>
  </si>
  <si>
    <t>Barrel-North Nashville-1624 and North Nashville-Ashley-1482 Line Rebuild</t>
  </si>
  <si>
    <t>Rebuild the approximately 25.77 miles 138 kV Barrel-North Nashville-1624 from STR 166 and North Nashville-Ashley-1482 138kV line with 345/138 kV double circuit structures, utilizing 138 kV conductor capable of 2000 amps during summer emergency conditions with OPGW shield wires.</t>
  </si>
  <si>
    <t>Bemidji Hospital OTP-Puposky 69kV Line Rebuild</t>
  </si>
  <si>
    <t>As part of Minnkota's ongoing 69 kV rebuild program, it has been identified that the Bemidji Hospital OTP Tap to Puposky Switch line sections are candidates for rebuild. The 12.7-mile section was selected due to age and condition concerns.</t>
  </si>
  <si>
    <t>Temporary Tap for Truett 500 MW (Truett Phase 1.5)</t>
  </si>
  <si>
    <t>Tap the existing Roxford-Gateway 345 kV line to supply the customer load of 500 MW. Temporary until final sections of the Coffeen-Moro-Roxford line can be constructed.</t>
  </si>
  <si>
    <t>Customer load</t>
  </si>
  <si>
    <t>Rebuild Montgomery-Guthrie 161 kV Line</t>
  </si>
  <si>
    <t>Rebuild the 38 mile Montgomery-Guthrie-3 161 kV line with conductors rated at 2000 amps summer emergency conditions</t>
  </si>
  <si>
    <t>Increased Reliability</t>
  </si>
  <si>
    <t>Oxbow 69kV Distribution Substation Rebuild</t>
  </si>
  <si>
    <t>Oxbow 69kV distribution substation is required to be moved due to the Fargo-Moorhead (FM) Area Diversion project. The rebuilt substation will be designed to sustain the future load growth in South Fargo.</t>
  </si>
  <si>
    <t>New Project Point 345 kV Temporary Tap</t>
  </si>
  <si>
    <t>Temporarily tap the Rush Island-Tyson and Rush Island-Joachim 345 kV lines to supply 600 MW of customer load</t>
  </si>
  <si>
    <t>Abercrombie 230 kV Substation</t>
  </si>
  <si>
    <t>Substation on a tap of Frontier-Wahpeton 230 kV needed to interconnect a planned solar farm to the system.</t>
  </si>
  <si>
    <t>Generation Interconnect</t>
  </si>
  <si>
    <t>New Valley View-Salem Bulk 69 kV line</t>
  </si>
  <si>
    <t>Construct New Valley View-Salem Bulk 69 kV line. Construct 69 kV from Salem Bulk 69 kV Substation to Sprott substation, Sprott to Kinsey substation, Kinsey to Valley View substation. Construct with 477 kcm  ACSR, 21 miles total.</t>
  </si>
  <si>
    <t>Needed to help relieve loading on Valley View feeder V3 and Bloomsdale Feeder B3. (Citizens project). Provide reliability for long radial Salem to Valley View.</t>
  </si>
  <si>
    <t>E0029 GIA Interconnection at Waterford 500 kV</t>
  </si>
  <si>
    <t>Facilities required to interconnect E0029 at Waterford 500 kV.</t>
  </si>
  <si>
    <t>GIA executed by E0029.</t>
  </si>
  <si>
    <t>Brazos Plantersville 230 kV Station</t>
  </si>
  <si>
    <t>Brazos Electric Co-op, Inc. is proposing to construct a 230 kV station named Plantersville near the Castle station on the existing Grimes to Castle 230 kV line.</t>
  </si>
  <si>
    <t>Entergy received notification from a customer who will be constructing a new 230 kV substation in Grimes County, Texas.</t>
  </si>
  <si>
    <t>J1851 Beekman Solar Remote End Upgrades</t>
  </si>
  <si>
    <t>J1851 Beekman solar and EAL have executed a FCA to perform network upgrades on EAL's Crossett North 115kV station and EAL's Crossett South 115kV station. This involves new relay panels and telecom upgrades.</t>
  </si>
  <si>
    <t>Needed for the J1851 solar project.</t>
  </si>
  <si>
    <t>Black Hawk: Install 345 kV 100 MVAR Capacitor</t>
  </si>
  <si>
    <t>Install a 345 kV 100 MVAR capacitor bank and switching device at Black Hawk Substation.</t>
  </si>
  <si>
    <t>Upgrade identified by MISO in the affected system study for SPP DISIS-2017 cycle</t>
  </si>
  <si>
    <t>Rebuild Sunnyside to Fall Creek 345 kV transmission line</t>
  </si>
  <si>
    <t>Rebuild 31.23 miles from Sunnyside (IPL) to Fall Creek (AEP) 345 kV transmission line to 1195 MVA. IPL rebuild: 10.25 miles. AEP rebuild: 20.98 miles</t>
  </si>
  <si>
    <t>EPR (April26) mitigation for N-1, N-1-1 and load growth.</t>
  </si>
  <si>
    <t>New Addison 345 kV Capacitor (100 Mvar)</t>
  </si>
  <si>
    <t>Construct a 100 Mvar capacitor bank at the Hackman load station ([HE] Addison 345 kV). Load paying for BRP.</t>
  </si>
  <si>
    <t>Resolves a NERC defined P6 contingency event voltage violations identified in the April EPR cycle.</t>
  </si>
  <si>
    <t>IPL Adoption of Seasonal Ratings - BRP-MTEP26</t>
  </si>
  <si>
    <t>Indianapolis Power &amp; Light is changing its Facility Rating Methodology to adopt seasonal ratings. This project covers all Facilities changes classified as BRPs.</t>
  </si>
  <si>
    <t>FERC 881 / local reliability.</t>
  </si>
  <si>
    <t>Rebuild Noblesville to Durbin 230kV line</t>
  </si>
  <si>
    <t>5.36 miles; increase rating to 1620MVA using bundled 954ACSS54@200C or 4000A equivalent; Noblesville to Durbin 230kV line.</t>
  </si>
  <si>
    <t>April 2026 EPR mitigation for N-1 and N-1-1 system overloads.</t>
  </si>
  <si>
    <t>Midbend 230 kV Station</t>
  </si>
  <si>
    <t>Entergy is proposing to construct a new 230 kV station named Midbend to serve a customer load cut into the existing Mt Houmas to Luce 230 kV line near Geismar, LA. 
The 230 kV station will be configured as a ring bus.</t>
  </si>
  <si>
    <t>Entergy received a request from a customer to add load near Geismar, LA.  These facilities were identified as needed due to the load growth.</t>
  </si>
  <si>
    <t>Plymouth 161-69 kV Transformer Replacement</t>
  </si>
  <si>
    <t>Replace 161-69 kV (167 MVA) transformer at Plymouth Substation which failed in April 2026. The replacement transformer will be a spare 161-69 kV 167 MVA transformer.  A new 161-69 kV, 167 MVA transformer will ordered to replenish the spare used at Plymouth.</t>
  </si>
  <si>
    <t>Replace 138kV East Substation #5 Breaker</t>
  </si>
  <si>
    <t>Replacement of one (1) 138 kV breaker at East substation, #5</t>
  </si>
  <si>
    <t>Reliability need resulting from the annual short circuit analysis as required by NERC TPL-001-4 R2.3 &amp; R2.8</t>
  </si>
  <si>
    <t>Project Atom Load Interconnection</t>
  </si>
  <si>
    <t>Interstate Power and Light Company (IPL) has requested to interconnect a new 300 MW load on the Rock Creek – Salem 345 kV line ~3 miles north of the Rock Creek substation. To support this request, ITC Midwest will construct a new 345 kV switching station that will connect to the Rock Creek – Salem 345 kV line and initially provide two 345 kV lines to serve the new load. In addition, a 96 MVAR effective 345 kV capacitor bank will be installed at the new switching station. The new switching station will also provide 2 – 345 kV radial feeds to the customer owned substation/transformers.</t>
  </si>
  <si>
    <t>Project is needed to support the load interconnection request from IPL.</t>
  </si>
  <si>
    <t>New Station (Bread) - CE Baker Interconnection</t>
  </si>
  <si>
    <t>METC to build a new 345/138 kV station to cut the Palisades – Argenta #2 345 kV line. METC will construct approximately 10.18 miles of new 138 kV line on double-circuit structures (leave vacant side for future use) using 954 ACSR conductor. The new 138 kV line construction will mostly follow existing 345kV corridor and CE’s 46kV ROW.</t>
  </si>
  <si>
    <t>Consumers Energy requested to connect their new Baker 138/46kV substation in Lawrence township. There is a MISO approved project #50447 to accommodate this interconnection request. This proposal is an alternative to the approved project for the cost and time savings.</t>
  </si>
  <si>
    <t>Project Skyway Large Load</t>
  </si>
  <si>
    <t>This project will build two radial transmission circuits to a large spot load from the North Rochester 345kV substation.</t>
  </si>
  <si>
    <t>The project was initiated by a request from a customer.</t>
  </si>
  <si>
    <t>New Project Point Stag 345 kV Capacitor Bank</t>
  </si>
  <si>
    <t>Install a 200 Mvar capacitor bank at Stag 345 kV substation</t>
  </si>
  <si>
    <t>Support voltage constraints for new customer load</t>
  </si>
  <si>
    <t>Center upgrades for Hannover data center</t>
  </si>
  <si>
    <t>Retap CTs, replace disconnects, and remove a wave trap at Otter Tail Power's Center 345 kV substation.</t>
  </si>
  <si>
    <t>Upgrades on the Coyote-Hannover-Center 345 kV lines were found in the EPR process for MTEP 51293.</t>
  </si>
  <si>
    <t>New [PPI] Riverside - [AMIL] Jerseyville 138 kV line</t>
  </si>
  <si>
    <t>New 24 mile 138 kV line between PPI Riverside and AMIL Jerseyville substations.</t>
  </si>
  <si>
    <t>EPR N-1-1 contingency response to resolve BES overloading issues</t>
  </si>
  <si>
    <t>New [PPI] Alsey - [AMIL] Ballard 138 kV second circuit line</t>
  </si>
  <si>
    <t>New second 138 kV circuit between PPI Alsey and AMIL Ballard</t>
  </si>
  <si>
    <t>EPR N-1-1 contingency response FLO</t>
  </si>
  <si>
    <t>E0031 GIA Interconnection at Baxter Wilson</t>
  </si>
  <si>
    <t>Facilities required to interconnect E0031 at Baxter Wilson.</t>
  </si>
  <si>
    <t>GIA executed by E0031.</t>
  </si>
  <si>
    <t>Enbridge Cambridge SS, DIC, New Substation</t>
  </si>
  <si>
    <t>Install new substation at Cambridge location.</t>
  </si>
  <si>
    <t>MidAmerican Energy Upgrades for MTEP 51259 Big Cedar 370 MW Load Addition</t>
  </si>
  <si>
    <t>The project need is to address post-contingent overloads on the Hazleton-Arnold 345 kV line identified in MISO’s EPR reliability analysis of MTEP 51259 Big Cedar 370 MW Load Addition.</t>
  </si>
  <si>
    <t>New 345kV E0046 Gas City Substation</t>
  </si>
  <si>
    <t>A new 345kV interconnection substation, Gas City from a new generation facility to the existing Noblesville to Fall Creek 345kV transmission line.</t>
  </si>
  <si>
    <t>Interconnection Customer shall install a 315 MVA facility, rated at 267.75 MW gross and 253.26 MW net.</t>
  </si>
  <si>
    <t>L571 (Silver Creek 115 - Silver Creek GT 115) Rebuild</t>
  </si>
  <si>
    <t>Rebuild L571 (Silver Creek 115 - Silver Creek GT 115) to increase the line's rating due to the line causing constraints in the generator deliverability analysis.</t>
  </si>
  <si>
    <t>L572 (Silver Creek 115 - Silver Creek GT 115) Rebuild</t>
  </si>
  <si>
    <t>Rebuild L572 (Silver Creek 115 - Silver Creek GT 115) to increase the line's rating due to the line causing constraints in the generator deliverability analysis.</t>
  </si>
  <si>
    <t>Andrus 230 kV: Connect Delta Blues Power Station</t>
  </si>
  <si>
    <t>Facilities updates required to interconnect R5073 interconnection at Andrus 230kV.</t>
  </si>
  <si>
    <t>Topology changes to interconnect R5073 at Andrus 230kV.</t>
  </si>
  <si>
    <t>New [HE] Prairie Creek 345 kV Transmission Station and Load Phase 1</t>
  </si>
  <si>
    <t>Construct a new six position breaker-and-a-half 345 kV transmission station about one mile north of Fairbanks, Indiana on the DEI 34520 Dresser - Fairbanks 345 kV line called Prairie Creek. The new station will include a 345/69 kV stepdown position to interconnect to the nearby Hoosier 69 kV system at Middletown substation.</t>
  </si>
  <si>
    <t>To accommodate a new 300 MW load, a new transmission station and supporting infrastructure is required.</t>
  </si>
  <si>
    <t>Project Pawnee Temporary Tap</t>
  </si>
  <si>
    <t>Temporarily tap the Austin-Taylorville South 138 kV line to supply Pawnee customer load for 150 MW</t>
  </si>
  <si>
    <t>Project Pawnee Final</t>
  </si>
  <si>
    <t>Extend two 345 kV lead lines from a new 345 kV Ameren owned substation to serve 400 MW of customer load. Upgrade future Kincaid-Prairie Link 345 kV line to 4000 Amps. Install a 200 Mvar capacitor bank.</t>
  </si>
  <si>
    <t>Rebel West 345 kV Substation &amp; Associated Upgrades</t>
  </si>
  <si>
    <t>Construct new Rebel West Substation to serve a new customer load. Bisect the Raun - Remsen Township and Raun - Ida County West 345 kV lines to bring line taps into the Rebel West Substation.</t>
  </si>
  <si>
    <t>Rebel East and Westwood 345 kV Substations &amp; Associated Upgrades</t>
  </si>
  <si>
    <t>Construct new Rebel East Substation to serve new customer load. Bisect the Rebel West - Ida County West 345 kV line and bring line taps into Rebel East Substation. Construct Rebel West - Rebel East 345 kV circuits 1 &amp; 2. Construct the new Westwood 345 kV Substation and build the new Westwood - Rebel West 345 kV line. Replace structures on the existing Raun - WAPA Sioux City 345 kV line. Rebuild the Rebel West - Remsen 345 kV line. Rebuild a section of the Webster - Hayes 161 kV line. Structure replacements on Cherokee - Highland 345 kV line and replace Little Sioux 161-69 kV transformer.</t>
  </si>
  <si>
    <t>GRIDLIANCE HEARTLAND LLC</t>
  </si>
  <si>
    <t>Paducah Load Interconnection - Phase 1</t>
  </si>
  <si>
    <t>Tap and loop-in Joppa – Shawnee circuits 2, 3, and 4 into a new 161 kV station.</t>
  </si>
  <si>
    <t>A load customer has requested to interconnect a new 1825 MW load along the Joppa – Shawnee 161 kV circuits.</t>
  </si>
  <si>
    <t>TDSP</t>
  </si>
  <si>
    <t>IL; KY</t>
  </si>
  <si>
    <t>Paducah Load Interconnection - Phase 2</t>
  </si>
  <si>
    <t>Expand Paducah Data Center North 161 kV station to 345 kV. Construct new Paducah Data Center South 345/161 kV station. Construct new double circuit 345 kV from Massac terminating one circuit at Paducah Data Center North and one at South station. Construct new 345 kV single circuit between Paducah Data Center North and South. Construct new double circuit 161 kV between Paducah Data Center North and South. Install series bus reactor bypass between Joppa North and South.  Install switched capacitor banks at Paducah Data Center North and South 161 kV stations.</t>
  </si>
  <si>
    <t>Andes 230kV Expansion Phase 2</t>
  </si>
  <si>
    <t>Load Expansion at the 230 kV Andes substation.  Andes 230 kV expanding by adding additional breaker bays for redundancy.</t>
  </si>
  <si>
    <t>Entergy received a request from a customer adding new load in Madison County, MS</t>
  </si>
  <si>
    <t>miso_project::miso_targetmtepcycleid=Target%20MTEP%20Cycle&amp;miso_targetappendixcode=Target%20Appendix&amp;miso_submittingtoid=Submitting%20TO&amp;miso_planningregioncode=Planning%20Region&amp;miso_states=State%28s%29&amp;miso_mtepprojectid=MTEP%20Project%20ID&amp;miso_name=Project%20Name&amp;miso_projectdescription=Project%20Description&amp;miso_systemneed=System%20Need&amp;miso_projecttypeid=Project%20Type&amp;miso_othertypeid=Other%20Type&amp;miso_expectedisdrollupdate=Expected%20ISD&amp;miso_currentcost=Current%20Cost&amp;miso_planningstatusid=Planning%20Status&amp;miso_maxkv=Max%20kV&amp;miso_minkv=Min%20k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</si>
</sst>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4" x14ac:knownFonts="1">
    <font>
      <sz val="11"/>
      <name val="Aptos Narrow"/>
    </font>
    <font>
      <sz val="11"/>
      <name val="Aptos Narrow"/>
      <family val="2"/>
    </font>
    <font>
      <b/>
      <sz val="11"/>
      <color theme="0"/>
      <name val="Aptos Narrow"/>
      <family val="2"/>
    </font>
    <font>
      <b/>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49" fontId="0" fillId="0" borderId="0" xfId="0" applyNumberFormat="1"/>
    <xf numFmtId="14" fontId="0" fillId="0" borderId="0" xfId="0" applyNumberFormat="1"/>
    <xf numFmtId="1" fontId="0" fillId="0" borderId="0" xfId="0" applyNumberFormat="1"/>
    <xf numFmtId="8" fontId="0" fillId="0" borderId="0" xfId="0" applyNumberFormat="1"/>
    <xf numFmtId="0" fontId="3" fillId="0" borderId="0" xfId="0" applyFont="1" applyAlignment="1">
      <alignment wrapText="1"/>
    </xf>
    <xf numFmtId="8" fontId="2" fillId="0" borderId="0" xfId="0" applyNumberFormat="1" applyFont="1" applyAlignment="1">
      <alignment wrapText="1"/>
    </xf>
    <xf numFmtId="14" fontId="1" fillId="0" borderId="0" xfId="0" applyNumberFormat="1" applyFont="1" applyAlignment="1">
      <alignment horizontal="left"/>
    </xf>
    <xf numFmtId="49" fontId="1" fillId="0" borderId="0" xfId="0" applyNumberFormat="1" applyFont="1" applyAlignment="1">
      <alignment horizontal="right"/>
    </xf>
  </cellXfs>
  <cellStyles count="1">
    <cellStyle name="Normal" xfId="0" builtinId="0"/>
  </cellStyles>
  <dxfs count="2">
    <dxf>
      <numFmt numFmtId="12" formatCode="&quot;$&quot;#,##0.00_);[Red]\(&quot;$&quot;#,##0.00\)"/>
    </dxf>
    <dxf>
      <font>
        <b/>
        <family val="2"/>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P599" totalsRowShown="0" headerRowDxfId="1">
  <autoFilter ref="A2:P599" xr:uid="{00000000-0009-0000-0100-000001000000}"/>
  <tableColumns count="16">
    <tableColumn id="4" xr3:uid="{00000000-0010-0000-0000-000004000000}" name="Target MTEP Cycle"/>
    <tableColumn id="5" xr3:uid="{00000000-0010-0000-0000-000005000000}" name="Target Appendix"/>
    <tableColumn id="6" xr3:uid="{00000000-0010-0000-0000-000006000000}" name="Submitting TO"/>
    <tableColumn id="7" xr3:uid="{00000000-0010-0000-0000-000007000000}" name="Planning Region"/>
    <tableColumn id="8" xr3:uid="{00000000-0010-0000-0000-000008000000}" name="State(s)"/>
    <tableColumn id="9" xr3:uid="{00000000-0010-0000-0000-000009000000}" name="MTEP Project ID"/>
    <tableColumn id="10" xr3:uid="{00000000-0010-0000-0000-00000A000000}" name="Project Name"/>
    <tableColumn id="11" xr3:uid="{00000000-0010-0000-0000-00000B000000}" name="Project Description"/>
    <tableColumn id="12" xr3:uid="{00000000-0010-0000-0000-00000C000000}" name="System Need"/>
    <tableColumn id="13" xr3:uid="{00000000-0010-0000-0000-00000D000000}" name="Project Type"/>
    <tableColumn id="14" xr3:uid="{00000000-0010-0000-0000-00000E000000}" name="Other Type"/>
    <tableColumn id="15" xr3:uid="{00000000-0010-0000-0000-00000F000000}" name="Expected ISD"/>
    <tableColumn id="16" xr3:uid="{00000000-0010-0000-0000-000010000000}" name="Current Cost" dataDxfId="0"/>
    <tableColumn id="17" xr3:uid="{00000000-0010-0000-0000-000011000000}" name="Planning Status"/>
    <tableColumn id="18" xr3:uid="{00000000-0010-0000-0000-000012000000}" name="Max kV"/>
    <tableColumn id="19" xr3:uid="{00000000-0010-0000-0000-000013000000}" name="Min kV"/>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P599"/>
  <sheetViews>
    <sheetView tabSelected="1" workbookViewId="0">
      <selection activeCell="S26" sqref="S26"/>
    </sheetView>
  </sheetViews>
  <sheetFormatPr defaultRowHeight="14.4" x14ac:dyDescent="0.3"/>
  <cols>
    <col min="1" max="4" width="14" style="1" customWidth="1"/>
    <col min="5" max="5" width="11" style="1" customWidth="1"/>
    <col min="6" max="6" width="14" style="1" customWidth="1"/>
    <col min="7" max="7" width="11.5546875" style="1" customWidth="1"/>
    <col min="8" max="8" width="14" style="1" customWidth="1"/>
    <col min="9" max="9" width="11.44140625" style="1" customWidth="1"/>
    <col min="10" max="10" width="11" style="1" customWidth="1"/>
    <col min="11" max="11" width="9.77734375" style="1" customWidth="1"/>
    <col min="12" max="12" width="11.21875" style="2" customWidth="1"/>
    <col min="13" max="13" width="16.21875" style="4" customWidth="1"/>
    <col min="14" max="14" width="12.109375" style="1" customWidth="1"/>
    <col min="15" max="15" width="6.6640625" style="3" customWidth="1"/>
    <col min="16" max="16" width="6" style="3" customWidth="1"/>
  </cols>
  <sheetData>
    <row r="1" spans="1:16" x14ac:dyDescent="0.3">
      <c r="A1" s="8" t="s">
        <v>165</v>
      </c>
      <c r="B1" s="8"/>
      <c r="C1" s="8"/>
      <c r="D1" s="8"/>
      <c r="E1" s="8"/>
      <c r="F1" s="7">
        <f ca="1">TODAY()</f>
        <v>46234</v>
      </c>
    </row>
    <row r="2" spans="1:16" s="5" customFormat="1" ht="28.8" x14ac:dyDescent="0.3">
      <c r="A2" s="5" t="s">
        <v>0</v>
      </c>
      <c r="B2" s="5" t="s">
        <v>1</v>
      </c>
      <c r="C2" s="5" t="s">
        <v>2</v>
      </c>
      <c r="D2" s="5" t="s">
        <v>3</v>
      </c>
      <c r="E2" s="5" t="s">
        <v>4</v>
      </c>
      <c r="F2" s="5" t="s">
        <v>5</v>
      </c>
      <c r="G2" s="5" t="s">
        <v>6</v>
      </c>
      <c r="H2" s="5" t="s">
        <v>7</v>
      </c>
      <c r="I2" s="5" t="s">
        <v>8</v>
      </c>
      <c r="J2" s="5" t="s">
        <v>9</v>
      </c>
      <c r="K2" s="5" t="s">
        <v>10</v>
      </c>
      <c r="L2" s="5" t="s">
        <v>11</v>
      </c>
      <c r="M2" s="6" t="s">
        <v>12</v>
      </c>
      <c r="N2" s="5" t="s">
        <v>13</v>
      </c>
      <c r="O2" s="5" t="s">
        <v>14</v>
      </c>
      <c r="P2" s="5" t="s">
        <v>15</v>
      </c>
    </row>
    <row r="3" spans="1:16" x14ac:dyDescent="0.3">
      <c r="A3" s="1" t="s">
        <v>16</v>
      </c>
      <c r="B3" s="1" t="s">
        <v>159</v>
      </c>
      <c r="C3" s="1" t="s">
        <v>17</v>
      </c>
      <c r="D3" s="1" t="s">
        <v>162</v>
      </c>
      <c r="E3" s="1" t="s">
        <v>18</v>
      </c>
      <c r="F3" s="1">
        <v>15871</v>
      </c>
      <c r="G3" s="1" t="s">
        <v>19</v>
      </c>
      <c r="H3" s="1" t="s">
        <v>20</v>
      </c>
      <c r="I3" s="1" t="s">
        <v>21</v>
      </c>
      <c r="J3" s="1" t="s">
        <v>22</v>
      </c>
      <c r="L3" s="2">
        <v>48213</v>
      </c>
      <c r="M3" s="4">
        <v>16100000</v>
      </c>
      <c r="N3" s="1" t="s">
        <v>23</v>
      </c>
      <c r="O3" s="3">
        <v>345</v>
      </c>
    </row>
    <row r="4" spans="1:16" x14ac:dyDescent="0.3">
      <c r="A4" s="1" t="s">
        <v>16</v>
      </c>
      <c r="B4" s="1" t="s">
        <v>159</v>
      </c>
      <c r="C4" s="1" t="s">
        <v>17</v>
      </c>
      <c r="D4" s="1" t="s">
        <v>162</v>
      </c>
      <c r="E4" s="1" t="s">
        <v>18</v>
      </c>
      <c r="F4" s="1">
        <v>15873</v>
      </c>
      <c r="G4" s="1" t="s">
        <v>24</v>
      </c>
      <c r="H4" s="1" t="s">
        <v>25</v>
      </c>
      <c r="I4" s="1" t="s">
        <v>26</v>
      </c>
      <c r="J4" s="1" t="s">
        <v>22</v>
      </c>
      <c r="L4" s="2">
        <v>47848</v>
      </c>
      <c r="M4" s="4">
        <v>9650000</v>
      </c>
      <c r="N4" s="1" t="s">
        <v>23</v>
      </c>
      <c r="O4" s="3">
        <v>345</v>
      </c>
    </row>
    <row r="5" spans="1:16" x14ac:dyDescent="0.3">
      <c r="A5" s="1" t="s">
        <v>16</v>
      </c>
      <c r="B5" s="1" t="s">
        <v>159</v>
      </c>
      <c r="C5" s="1" t="s">
        <v>27</v>
      </c>
      <c r="D5" s="1" t="s">
        <v>161</v>
      </c>
      <c r="E5" s="1" t="s">
        <v>28</v>
      </c>
      <c r="F5" s="1">
        <v>15991</v>
      </c>
      <c r="G5" s="1" t="s">
        <v>29</v>
      </c>
      <c r="H5" s="1" t="s">
        <v>30</v>
      </c>
      <c r="I5" s="1" t="s">
        <v>31</v>
      </c>
      <c r="J5" s="1" t="s">
        <v>32</v>
      </c>
      <c r="K5" s="1" t="s">
        <v>33</v>
      </c>
      <c r="L5" s="2">
        <v>47118</v>
      </c>
      <c r="M5" s="4">
        <v>2720000</v>
      </c>
      <c r="N5" s="1" t="s">
        <v>23</v>
      </c>
      <c r="O5" s="3">
        <v>138</v>
      </c>
      <c r="P5" s="3">
        <v>69</v>
      </c>
    </row>
    <row r="6" spans="1:16" x14ac:dyDescent="0.3">
      <c r="A6" s="1" t="s">
        <v>16</v>
      </c>
      <c r="B6" s="1" t="s">
        <v>159</v>
      </c>
      <c r="C6" s="1" t="s">
        <v>27</v>
      </c>
      <c r="D6" s="1" t="s">
        <v>161</v>
      </c>
      <c r="E6" s="1" t="s">
        <v>28</v>
      </c>
      <c r="F6" s="1">
        <v>15998</v>
      </c>
      <c r="G6" s="1" t="s">
        <v>34</v>
      </c>
      <c r="H6" s="1" t="s">
        <v>35</v>
      </c>
      <c r="I6" s="1" t="s">
        <v>36</v>
      </c>
      <c r="J6" s="1" t="s">
        <v>32</v>
      </c>
      <c r="K6" s="1" t="s">
        <v>33</v>
      </c>
      <c r="L6" s="2">
        <v>47118</v>
      </c>
      <c r="M6" s="4">
        <v>1500000</v>
      </c>
      <c r="N6" s="1" t="s">
        <v>23</v>
      </c>
      <c r="O6" s="3">
        <v>69</v>
      </c>
      <c r="P6" s="3">
        <v>12</v>
      </c>
    </row>
    <row r="7" spans="1:16" x14ac:dyDescent="0.3">
      <c r="A7" s="1" t="s">
        <v>16</v>
      </c>
      <c r="B7" s="1" t="s">
        <v>159</v>
      </c>
      <c r="C7" s="1" t="s">
        <v>37</v>
      </c>
      <c r="D7" s="1" t="s">
        <v>164</v>
      </c>
      <c r="E7" s="1" t="s">
        <v>18</v>
      </c>
      <c r="F7" s="1">
        <v>16496</v>
      </c>
      <c r="G7" s="1" t="s">
        <v>38</v>
      </c>
      <c r="H7" s="1" t="s">
        <v>39</v>
      </c>
      <c r="I7" s="1" t="s">
        <v>40</v>
      </c>
      <c r="J7" s="1" t="s">
        <v>32</v>
      </c>
      <c r="K7" s="1" t="s">
        <v>33</v>
      </c>
      <c r="L7" s="2">
        <v>46966</v>
      </c>
      <c r="M7" s="4">
        <v>85200000</v>
      </c>
      <c r="N7" s="1" t="s">
        <v>23</v>
      </c>
      <c r="O7" s="3">
        <v>69</v>
      </c>
    </row>
    <row r="8" spans="1:16" x14ac:dyDescent="0.3">
      <c r="A8" s="1" t="s">
        <v>16</v>
      </c>
      <c r="B8" s="1" t="s">
        <v>159</v>
      </c>
      <c r="C8" s="1" t="s">
        <v>41</v>
      </c>
      <c r="D8" s="1" t="s">
        <v>164</v>
      </c>
      <c r="E8" s="1" t="s">
        <v>42</v>
      </c>
      <c r="F8" s="1">
        <v>18008</v>
      </c>
      <c r="G8" s="1" t="s">
        <v>43</v>
      </c>
      <c r="H8" s="1" t="s">
        <v>44</v>
      </c>
      <c r="I8" s="1" t="s">
        <v>45</v>
      </c>
      <c r="J8" s="1" t="s">
        <v>32</v>
      </c>
      <c r="K8" s="1" t="s">
        <v>46</v>
      </c>
      <c r="L8" s="2">
        <v>46980</v>
      </c>
      <c r="M8" s="4">
        <v>190000000</v>
      </c>
      <c r="N8" s="1" t="s">
        <v>23</v>
      </c>
      <c r="O8" s="3">
        <v>115</v>
      </c>
    </row>
    <row r="9" spans="1:16" x14ac:dyDescent="0.3">
      <c r="A9" s="1" t="s">
        <v>16</v>
      </c>
      <c r="B9" s="1" t="s">
        <v>159</v>
      </c>
      <c r="C9" s="1" t="s">
        <v>17</v>
      </c>
      <c r="D9" s="1" t="s">
        <v>162</v>
      </c>
      <c r="E9" s="1" t="s">
        <v>18</v>
      </c>
      <c r="F9" s="1">
        <v>18201</v>
      </c>
      <c r="G9" s="1" t="s">
        <v>166</v>
      </c>
      <c r="H9" s="1" t="s">
        <v>167</v>
      </c>
      <c r="I9" s="1" t="s">
        <v>168</v>
      </c>
      <c r="J9" s="1" t="s">
        <v>22</v>
      </c>
      <c r="L9" s="2">
        <v>47150</v>
      </c>
      <c r="M9" s="4">
        <v>2500000</v>
      </c>
      <c r="N9" s="1" t="s">
        <v>50</v>
      </c>
      <c r="O9" s="3">
        <v>120</v>
      </c>
    </row>
    <row r="10" spans="1:16" x14ac:dyDescent="0.3">
      <c r="A10" s="1" t="s">
        <v>16</v>
      </c>
      <c r="B10" s="1" t="s">
        <v>159</v>
      </c>
      <c r="C10" s="1" t="s">
        <v>17</v>
      </c>
      <c r="D10" s="1" t="s">
        <v>162</v>
      </c>
      <c r="E10" s="1" t="s">
        <v>18</v>
      </c>
      <c r="F10" s="1">
        <v>18208</v>
      </c>
      <c r="G10" s="1" t="s">
        <v>47</v>
      </c>
      <c r="H10" s="1" t="s">
        <v>48</v>
      </c>
      <c r="I10" s="1" t="s">
        <v>49</v>
      </c>
      <c r="J10" s="1" t="s">
        <v>22</v>
      </c>
      <c r="L10" s="2">
        <v>46722</v>
      </c>
      <c r="M10" s="4">
        <v>677000</v>
      </c>
      <c r="N10" s="1" t="s">
        <v>50</v>
      </c>
      <c r="O10" s="3">
        <v>120</v>
      </c>
    </row>
    <row r="11" spans="1:16" x14ac:dyDescent="0.3">
      <c r="A11" s="1" t="s">
        <v>16</v>
      </c>
      <c r="B11" s="1" t="s">
        <v>159</v>
      </c>
      <c r="C11" s="1" t="s">
        <v>51</v>
      </c>
      <c r="D11" s="1" t="s">
        <v>162</v>
      </c>
      <c r="E11" s="1" t="s">
        <v>18</v>
      </c>
      <c r="F11" s="1">
        <v>20015</v>
      </c>
      <c r="G11" s="1" t="s">
        <v>52</v>
      </c>
      <c r="H11" s="1" t="s">
        <v>53</v>
      </c>
      <c r="I11" s="1" t="s">
        <v>54</v>
      </c>
      <c r="J11" s="1" t="s">
        <v>32</v>
      </c>
      <c r="K11" s="1" t="s">
        <v>33</v>
      </c>
      <c r="L11" s="2">
        <v>48000</v>
      </c>
      <c r="M11" s="4">
        <v>32210000</v>
      </c>
      <c r="N11" s="1" t="s">
        <v>23</v>
      </c>
      <c r="O11" s="3">
        <v>138</v>
      </c>
    </row>
    <row r="12" spans="1:16" x14ac:dyDescent="0.3">
      <c r="A12" s="1" t="s">
        <v>16</v>
      </c>
      <c r="B12" s="1" t="s">
        <v>159</v>
      </c>
      <c r="C12" s="1" t="s">
        <v>55</v>
      </c>
      <c r="D12" s="1" t="s">
        <v>164</v>
      </c>
      <c r="E12" s="1" t="s">
        <v>56</v>
      </c>
      <c r="F12" s="1">
        <v>20087</v>
      </c>
      <c r="G12" s="1" t="s">
        <v>57</v>
      </c>
      <c r="H12" s="1" t="s">
        <v>58</v>
      </c>
      <c r="I12" s="1" t="s">
        <v>33</v>
      </c>
      <c r="J12" s="1" t="s">
        <v>32</v>
      </c>
      <c r="K12" s="1" t="s">
        <v>33</v>
      </c>
      <c r="L12" s="2">
        <v>47118</v>
      </c>
      <c r="M12" s="4">
        <v>955000</v>
      </c>
      <c r="N12" s="1" t="s">
        <v>23</v>
      </c>
      <c r="O12" s="3">
        <v>115</v>
      </c>
    </row>
    <row r="13" spans="1:16" x14ac:dyDescent="0.3">
      <c r="A13" s="1" t="s">
        <v>16</v>
      </c>
      <c r="B13" s="1" t="s">
        <v>159</v>
      </c>
      <c r="C13" s="1" t="s">
        <v>55</v>
      </c>
      <c r="D13" s="1" t="s">
        <v>164</v>
      </c>
      <c r="E13" s="1" t="s">
        <v>56</v>
      </c>
      <c r="F13" s="1">
        <v>22285</v>
      </c>
      <c r="G13" s="1" t="s">
        <v>59</v>
      </c>
      <c r="H13" s="1" t="s">
        <v>60</v>
      </c>
      <c r="I13" s="1" t="s">
        <v>61</v>
      </c>
      <c r="J13" s="1" t="s">
        <v>22</v>
      </c>
      <c r="L13" s="2">
        <v>47118</v>
      </c>
      <c r="M13" s="4">
        <v>1500000</v>
      </c>
      <c r="N13" s="1" t="s">
        <v>23</v>
      </c>
      <c r="O13" s="3">
        <v>115</v>
      </c>
    </row>
    <row r="14" spans="1:16" x14ac:dyDescent="0.3">
      <c r="A14" s="1" t="s">
        <v>16</v>
      </c>
      <c r="B14" s="1" t="s">
        <v>159</v>
      </c>
      <c r="C14" s="1" t="s">
        <v>55</v>
      </c>
      <c r="D14" s="1" t="s">
        <v>164</v>
      </c>
      <c r="E14" s="1" t="s">
        <v>56</v>
      </c>
      <c r="F14" s="1">
        <v>22286</v>
      </c>
      <c r="G14" s="1" t="s">
        <v>62</v>
      </c>
      <c r="H14" s="1" t="s">
        <v>63</v>
      </c>
      <c r="I14" s="1" t="s">
        <v>61</v>
      </c>
      <c r="J14" s="1" t="s">
        <v>22</v>
      </c>
      <c r="L14" s="2">
        <v>47483</v>
      </c>
      <c r="M14" s="4">
        <v>11000000</v>
      </c>
      <c r="N14" s="1" t="s">
        <v>23</v>
      </c>
      <c r="O14" s="3">
        <v>115</v>
      </c>
    </row>
    <row r="15" spans="1:16" x14ac:dyDescent="0.3">
      <c r="A15" s="1" t="s">
        <v>16</v>
      </c>
      <c r="B15" s="1" t="s">
        <v>159</v>
      </c>
      <c r="C15" s="1" t="s">
        <v>64</v>
      </c>
      <c r="D15" s="1" t="s">
        <v>161</v>
      </c>
      <c r="E15" s="1" t="s">
        <v>65</v>
      </c>
      <c r="F15" s="1">
        <v>22877</v>
      </c>
      <c r="G15" s="1" t="s">
        <v>66</v>
      </c>
      <c r="H15" s="1" t="s">
        <v>67</v>
      </c>
      <c r="I15" s="1" t="s">
        <v>68</v>
      </c>
      <c r="J15" s="1" t="s">
        <v>32</v>
      </c>
      <c r="K15" s="1" t="s">
        <v>33</v>
      </c>
      <c r="L15" s="2">
        <v>47088</v>
      </c>
      <c r="M15" s="4">
        <v>8000000</v>
      </c>
      <c r="N15" s="1" t="s">
        <v>23</v>
      </c>
      <c r="O15" s="3">
        <v>138</v>
      </c>
    </row>
    <row r="16" spans="1:16" x14ac:dyDescent="0.3">
      <c r="A16" s="1" t="s">
        <v>16</v>
      </c>
      <c r="B16" s="1" t="s">
        <v>159</v>
      </c>
      <c r="C16" s="1" t="s">
        <v>64</v>
      </c>
      <c r="D16" s="1" t="s">
        <v>161</v>
      </c>
      <c r="E16" s="1" t="s">
        <v>65</v>
      </c>
      <c r="F16" s="1">
        <v>22879</v>
      </c>
      <c r="G16" s="1" t="s">
        <v>69</v>
      </c>
      <c r="H16" s="1" t="s">
        <v>70</v>
      </c>
      <c r="I16" s="1" t="s">
        <v>71</v>
      </c>
      <c r="J16" s="1" t="s">
        <v>32</v>
      </c>
      <c r="K16" s="1" t="s">
        <v>33</v>
      </c>
      <c r="L16" s="2">
        <v>47270</v>
      </c>
      <c r="M16" s="4">
        <v>5000000</v>
      </c>
      <c r="N16" s="1" t="s">
        <v>23</v>
      </c>
      <c r="O16" s="3">
        <v>138</v>
      </c>
    </row>
    <row r="17" spans="1:16" x14ac:dyDescent="0.3">
      <c r="A17" s="1" t="s">
        <v>16</v>
      </c>
      <c r="B17" s="1" t="s">
        <v>159</v>
      </c>
      <c r="C17" s="1" t="s">
        <v>72</v>
      </c>
      <c r="D17" s="1" t="s">
        <v>161</v>
      </c>
      <c r="E17" s="1" t="s">
        <v>73</v>
      </c>
      <c r="F17" s="1">
        <v>22953</v>
      </c>
      <c r="G17" s="1" t="s">
        <v>74</v>
      </c>
      <c r="H17" s="1" t="s">
        <v>75</v>
      </c>
      <c r="I17" s="1" t="s">
        <v>76</v>
      </c>
      <c r="J17" s="1" t="s">
        <v>32</v>
      </c>
      <c r="K17" s="1" t="s">
        <v>46</v>
      </c>
      <c r="L17" s="2">
        <v>47453</v>
      </c>
      <c r="M17" s="4">
        <v>13600000</v>
      </c>
      <c r="N17" s="1" t="s">
        <v>23</v>
      </c>
      <c r="O17" s="3">
        <v>345</v>
      </c>
      <c r="P17" s="3">
        <v>138</v>
      </c>
    </row>
    <row r="18" spans="1:16" x14ac:dyDescent="0.3">
      <c r="A18" s="1" t="s">
        <v>16</v>
      </c>
      <c r="B18" s="1" t="s">
        <v>159</v>
      </c>
      <c r="C18" s="1" t="s">
        <v>72</v>
      </c>
      <c r="D18" s="1" t="s">
        <v>161</v>
      </c>
      <c r="E18" s="1" t="s">
        <v>73</v>
      </c>
      <c r="F18" s="1">
        <v>23066</v>
      </c>
      <c r="G18" s="1" t="s">
        <v>77</v>
      </c>
      <c r="H18" s="1" t="s">
        <v>78</v>
      </c>
      <c r="I18" s="1" t="s">
        <v>76</v>
      </c>
      <c r="J18" s="1" t="s">
        <v>32</v>
      </c>
      <c r="K18" s="1" t="s">
        <v>46</v>
      </c>
      <c r="L18" s="2">
        <v>47088</v>
      </c>
      <c r="M18" s="4">
        <v>12000000</v>
      </c>
      <c r="N18" s="1" t="s">
        <v>23</v>
      </c>
      <c r="O18" s="3">
        <v>161</v>
      </c>
    </row>
    <row r="19" spans="1:16" x14ac:dyDescent="0.3">
      <c r="A19" s="1" t="s">
        <v>16</v>
      </c>
      <c r="B19" s="1" t="s">
        <v>159</v>
      </c>
      <c r="C19" s="1" t="s">
        <v>37</v>
      </c>
      <c r="D19" s="1" t="s">
        <v>164</v>
      </c>
      <c r="E19" s="1" t="s">
        <v>42</v>
      </c>
      <c r="F19" s="1">
        <v>23841</v>
      </c>
      <c r="G19" s="1" t="s">
        <v>79</v>
      </c>
      <c r="H19" s="1" t="s">
        <v>80</v>
      </c>
      <c r="I19" s="1" t="s">
        <v>81</v>
      </c>
      <c r="J19" s="1" t="s">
        <v>32</v>
      </c>
      <c r="K19" s="1" t="s">
        <v>82</v>
      </c>
      <c r="L19" s="2">
        <v>47999</v>
      </c>
      <c r="M19" s="4">
        <v>55000000</v>
      </c>
      <c r="N19" s="1" t="s">
        <v>23</v>
      </c>
      <c r="O19" s="3">
        <v>115</v>
      </c>
    </row>
    <row r="20" spans="1:16" x14ac:dyDescent="0.3">
      <c r="A20" s="1" t="s">
        <v>16</v>
      </c>
      <c r="B20" s="1" t="s">
        <v>159</v>
      </c>
      <c r="C20" s="1" t="s">
        <v>37</v>
      </c>
      <c r="D20" s="1" t="s">
        <v>164</v>
      </c>
      <c r="E20" s="1" t="s">
        <v>18</v>
      </c>
      <c r="F20" s="1">
        <v>24981</v>
      </c>
      <c r="G20" s="1" t="s">
        <v>83</v>
      </c>
      <c r="H20" s="1" t="s">
        <v>84</v>
      </c>
      <c r="I20" s="1" t="s">
        <v>85</v>
      </c>
      <c r="J20" s="1" t="s">
        <v>32</v>
      </c>
      <c r="K20" s="1" t="s">
        <v>33</v>
      </c>
      <c r="L20" s="2">
        <v>46784</v>
      </c>
      <c r="M20" s="4">
        <v>17300000</v>
      </c>
      <c r="N20" s="1" t="s">
        <v>23</v>
      </c>
      <c r="O20" s="3">
        <v>138</v>
      </c>
    </row>
    <row r="21" spans="1:16" x14ac:dyDescent="0.3">
      <c r="A21" s="1" t="s">
        <v>16</v>
      </c>
      <c r="B21" s="1" t="s">
        <v>160</v>
      </c>
      <c r="C21" s="1" t="s">
        <v>64</v>
      </c>
      <c r="D21" s="1" t="s">
        <v>161</v>
      </c>
      <c r="E21" s="1" t="s">
        <v>65</v>
      </c>
      <c r="F21" s="1">
        <v>24988</v>
      </c>
      <c r="G21" s="1" t="s">
        <v>86</v>
      </c>
      <c r="H21" s="1" t="s">
        <v>87</v>
      </c>
      <c r="I21" s="1" t="s">
        <v>88</v>
      </c>
      <c r="J21" s="1" t="s">
        <v>32</v>
      </c>
      <c r="K21" s="1" t="s">
        <v>33</v>
      </c>
      <c r="L21" s="2">
        <v>48549</v>
      </c>
      <c r="M21" s="4">
        <v>32500000</v>
      </c>
      <c r="N21" s="1" t="s">
        <v>23</v>
      </c>
      <c r="O21" s="3">
        <v>138</v>
      </c>
    </row>
    <row r="22" spans="1:16" x14ac:dyDescent="0.3">
      <c r="A22" s="1" t="s">
        <v>16</v>
      </c>
      <c r="B22" s="1" t="s">
        <v>159</v>
      </c>
      <c r="C22" s="1" t="s">
        <v>37</v>
      </c>
      <c r="D22" s="1" t="s">
        <v>164</v>
      </c>
      <c r="E22" s="1" t="s">
        <v>42</v>
      </c>
      <c r="F22" s="1">
        <v>25001</v>
      </c>
      <c r="G22" s="1" t="s">
        <v>89</v>
      </c>
      <c r="H22" s="1" t="s">
        <v>90</v>
      </c>
      <c r="I22" s="1" t="s">
        <v>40</v>
      </c>
      <c r="J22" s="1" t="s">
        <v>32</v>
      </c>
      <c r="K22" s="1" t="s">
        <v>33</v>
      </c>
      <c r="L22" s="2">
        <v>46937</v>
      </c>
      <c r="M22" s="4">
        <v>49000000</v>
      </c>
      <c r="N22" s="1" t="s">
        <v>23</v>
      </c>
      <c r="O22" s="3">
        <v>69</v>
      </c>
    </row>
    <row r="23" spans="1:16" x14ac:dyDescent="0.3">
      <c r="A23" s="1" t="s">
        <v>16</v>
      </c>
      <c r="B23" s="1" t="s">
        <v>159</v>
      </c>
      <c r="C23" s="1" t="s">
        <v>37</v>
      </c>
      <c r="D23" s="1" t="s">
        <v>164</v>
      </c>
      <c r="E23" s="1" t="s">
        <v>42</v>
      </c>
      <c r="F23" s="1">
        <v>25002</v>
      </c>
      <c r="G23" s="1" t="s">
        <v>91</v>
      </c>
      <c r="H23" s="1" t="s">
        <v>92</v>
      </c>
      <c r="I23" s="1" t="s">
        <v>40</v>
      </c>
      <c r="J23" s="1" t="s">
        <v>32</v>
      </c>
      <c r="K23" s="1" t="s">
        <v>33</v>
      </c>
      <c r="L23" s="2">
        <v>47118</v>
      </c>
      <c r="M23" s="4">
        <v>23300000</v>
      </c>
      <c r="N23" s="1" t="s">
        <v>23</v>
      </c>
      <c r="O23" s="3">
        <v>69</v>
      </c>
    </row>
    <row r="24" spans="1:16" x14ac:dyDescent="0.3">
      <c r="A24" s="1" t="s">
        <v>16</v>
      </c>
      <c r="B24" s="1" t="s">
        <v>159</v>
      </c>
      <c r="C24" s="1" t="s">
        <v>37</v>
      </c>
      <c r="D24" s="1" t="s">
        <v>164</v>
      </c>
      <c r="E24" s="1" t="s">
        <v>42</v>
      </c>
      <c r="F24" s="1">
        <v>25004</v>
      </c>
      <c r="G24" s="1" t="s">
        <v>93</v>
      </c>
      <c r="H24" s="1" t="s">
        <v>94</v>
      </c>
      <c r="I24" s="1" t="s">
        <v>40</v>
      </c>
      <c r="J24" s="1" t="s">
        <v>32</v>
      </c>
      <c r="K24" s="1" t="s">
        <v>33</v>
      </c>
      <c r="L24" s="2">
        <v>46600</v>
      </c>
      <c r="M24" s="4">
        <v>11000000</v>
      </c>
      <c r="N24" s="1" t="s">
        <v>23</v>
      </c>
      <c r="O24" s="3">
        <v>69</v>
      </c>
    </row>
    <row r="25" spans="1:16" x14ac:dyDescent="0.3">
      <c r="A25" s="1" t="s">
        <v>16</v>
      </c>
      <c r="B25" s="1" t="s">
        <v>159</v>
      </c>
      <c r="C25" s="1" t="s">
        <v>37</v>
      </c>
      <c r="D25" s="1" t="s">
        <v>164</v>
      </c>
      <c r="E25" s="1" t="s">
        <v>42</v>
      </c>
      <c r="F25" s="1">
        <v>25019</v>
      </c>
      <c r="G25" s="1" t="s">
        <v>95</v>
      </c>
      <c r="H25" s="1" t="s">
        <v>96</v>
      </c>
      <c r="I25" s="1" t="s">
        <v>40</v>
      </c>
      <c r="J25" s="1" t="s">
        <v>32</v>
      </c>
      <c r="K25" s="1" t="s">
        <v>33</v>
      </c>
      <c r="L25" s="2">
        <v>46569</v>
      </c>
      <c r="M25" s="4">
        <v>16000000</v>
      </c>
      <c r="N25" s="1" t="s">
        <v>23</v>
      </c>
      <c r="O25" s="3">
        <v>69</v>
      </c>
    </row>
    <row r="26" spans="1:16" x14ac:dyDescent="0.3">
      <c r="A26" s="1" t="s">
        <v>16</v>
      </c>
      <c r="B26" s="1" t="s">
        <v>159</v>
      </c>
      <c r="C26" s="1" t="s">
        <v>37</v>
      </c>
      <c r="D26" s="1" t="s">
        <v>164</v>
      </c>
      <c r="E26" s="1" t="s">
        <v>42</v>
      </c>
      <c r="F26" s="1">
        <v>25020</v>
      </c>
      <c r="G26" s="1" t="s">
        <v>97</v>
      </c>
      <c r="H26" s="1" t="s">
        <v>98</v>
      </c>
      <c r="I26" s="1" t="s">
        <v>40</v>
      </c>
      <c r="J26" s="1" t="s">
        <v>32</v>
      </c>
      <c r="K26" s="1" t="s">
        <v>33</v>
      </c>
      <c r="L26" s="2">
        <v>47150</v>
      </c>
      <c r="M26" s="4">
        <v>11400000</v>
      </c>
      <c r="N26" s="1" t="s">
        <v>23</v>
      </c>
      <c r="O26" s="3">
        <v>69</v>
      </c>
    </row>
    <row r="27" spans="1:16" x14ac:dyDescent="0.3">
      <c r="A27" s="1" t="s">
        <v>16</v>
      </c>
      <c r="B27" s="1" t="s">
        <v>159</v>
      </c>
      <c r="C27" s="1" t="s">
        <v>64</v>
      </c>
      <c r="D27" s="1" t="s">
        <v>161</v>
      </c>
      <c r="E27" s="1" t="s">
        <v>65</v>
      </c>
      <c r="F27" s="1">
        <v>25121</v>
      </c>
      <c r="G27" s="1" t="s">
        <v>169</v>
      </c>
      <c r="H27" s="1" t="s">
        <v>99</v>
      </c>
      <c r="I27" s="1" t="s">
        <v>100</v>
      </c>
      <c r="J27" s="1" t="s">
        <v>101</v>
      </c>
      <c r="L27" s="2">
        <v>46357</v>
      </c>
      <c r="M27" s="4">
        <v>11000000</v>
      </c>
      <c r="N27" s="1" t="s">
        <v>23</v>
      </c>
      <c r="O27" s="3">
        <v>345</v>
      </c>
    </row>
    <row r="28" spans="1:16" x14ac:dyDescent="0.3">
      <c r="A28" s="1" t="s">
        <v>16</v>
      </c>
      <c r="B28" s="1" t="s">
        <v>159</v>
      </c>
      <c r="C28" s="1" t="s">
        <v>170</v>
      </c>
      <c r="D28" s="1" t="s">
        <v>162</v>
      </c>
      <c r="E28" s="1" t="s">
        <v>18</v>
      </c>
      <c r="F28" s="1">
        <v>25192</v>
      </c>
      <c r="G28" s="1" t="s">
        <v>102</v>
      </c>
      <c r="H28" s="1" t="s">
        <v>103</v>
      </c>
      <c r="I28" s="1" t="s">
        <v>104</v>
      </c>
      <c r="J28" s="1" t="s">
        <v>32</v>
      </c>
      <c r="K28" s="1" t="s">
        <v>46</v>
      </c>
      <c r="L28" s="2">
        <v>47483</v>
      </c>
      <c r="M28" s="4">
        <v>1300000</v>
      </c>
      <c r="N28" s="1" t="s">
        <v>23</v>
      </c>
      <c r="O28" s="3">
        <v>138</v>
      </c>
    </row>
    <row r="29" spans="1:16" x14ac:dyDescent="0.3">
      <c r="A29" s="1" t="s">
        <v>16</v>
      </c>
      <c r="B29" s="1" t="s">
        <v>159</v>
      </c>
      <c r="C29" s="1" t="s">
        <v>55</v>
      </c>
      <c r="D29" s="1" t="s">
        <v>164</v>
      </c>
      <c r="E29" s="1" t="s">
        <v>56</v>
      </c>
      <c r="F29" s="1">
        <v>25255</v>
      </c>
      <c r="G29" s="1" t="s">
        <v>105</v>
      </c>
      <c r="H29" s="1" t="s">
        <v>106</v>
      </c>
      <c r="I29" s="1" t="s">
        <v>107</v>
      </c>
      <c r="J29" s="1" t="s">
        <v>32</v>
      </c>
      <c r="K29" s="1" t="s">
        <v>33</v>
      </c>
      <c r="L29" s="2">
        <v>47118</v>
      </c>
      <c r="M29" s="4">
        <v>4500000</v>
      </c>
      <c r="N29" s="1" t="s">
        <v>23</v>
      </c>
      <c r="O29" s="3">
        <v>115</v>
      </c>
      <c r="P29" s="3">
        <v>35</v>
      </c>
    </row>
    <row r="30" spans="1:16" x14ac:dyDescent="0.3">
      <c r="A30" s="1" t="s">
        <v>16</v>
      </c>
      <c r="B30" s="1" t="s">
        <v>159</v>
      </c>
      <c r="C30" s="1" t="s">
        <v>51</v>
      </c>
      <c r="D30" s="1" t="s">
        <v>162</v>
      </c>
      <c r="E30" s="1" t="s">
        <v>18</v>
      </c>
      <c r="F30" s="1">
        <v>25409</v>
      </c>
      <c r="G30" s="1" t="s">
        <v>108</v>
      </c>
      <c r="H30" s="1" t="s">
        <v>109</v>
      </c>
      <c r="I30" s="1" t="s">
        <v>110</v>
      </c>
      <c r="J30" s="1" t="s">
        <v>101</v>
      </c>
      <c r="L30" s="2">
        <v>46325</v>
      </c>
      <c r="M30" s="4">
        <v>13328256</v>
      </c>
      <c r="N30" s="1" t="s">
        <v>23</v>
      </c>
      <c r="O30" s="3">
        <v>138</v>
      </c>
    </row>
    <row r="31" spans="1:16" x14ac:dyDescent="0.3">
      <c r="A31" s="1" t="s">
        <v>16</v>
      </c>
      <c r="B31" s="1" t="s">
        <v>159</v>
      </c>
      <c r="C31" s="1" t="s">
        <v>51</v>
      </c>
      <c r="D31" s="1" t="s">
        <v>162</v>
      </c>
      <c r="E31" s="1" t="s">
        <v>18</v>
      </c>
      <c r="F31" s="1">
        <v>25426</v>
      </c>
      <c r="G31" s="1" t="s">
        <v>111</v>
      </c>
      <c r="H31" s="1" t="s">
        <v>112</v>
      </c>
      <c r="I31" s="1" t="s">
        <v>113</v>
      </c>
      <c r="J31" s="1" t="s">
        <v>101</v>
      </c>
      <c r="L31" s="2">
        <v>46083</v>
      </c>
      <c r="M31" s="4">
        <v>5076809</v>
      </c>
      <c r="N31" s="1" t="s">
        <v>171</v>
      </c>
      <c r="O31" s="3">
        <v>138</v>
      </c>
    </row>
    <row r="32" spans="1:16" x14ac:dyDescent="0.3">
      <c r="A32" s="1" t="s">
        <v>16</v>
      </c>
      <c r="B32" s="1" t="s">
        <v>159</v>
      </c>
      <c r="C32" s="1" t="s">
        <v>51</v>
      </c>
      <c r="D32" s="1" t="s">
        <v>162</v>
      </c>
      <c r="E32" s="1" t="s">
        <v>18</v>
      </c>
      <c r="F32" s="1">
        <v>25451</v>
      </c>
      <c r="G32" s="1" t="s">
        <v>114</v>
      </c>
      <c r="H32" s="1" t="s">
        <v>115</v>
      </c>
      <c r="I32" s="1" t="s">
        <v>116</v>
      </c>
      <c r="J32" s="1" t="s">
        <v>101</v>
      </c>
      <c r="L32" s="2">
        <v>46083</v>
      </c>
      <c r="M32" s="4">
        <v>333994</v>
      </c>
      <c r="N32" s="1" t="s">
        <v>171</v>
      </c>
      <c r="O32" s="3">
        <v>138</v>
      </c>
    </row>
    <row r="33" spans="1:15" x14ac:dyDescent="0.3">
      <c r="A33" s="1" t="s">
        <v>16</v>
      </c>
      <c r="B33" s="1" t="s">
        <v>159</v>
      </c>
      <c r="C33" s="1" t="s">
        <v>172</v>
      </c>
      <c r="D33" s="1" t="s">
        <v>164</v>
      </c>
      <c r="E33" s="1" t="s">
        <v>117</v>
      </c>
      <c r="F33" s="1">
        <v>25474</v>
      </c>
      <c r="G33" s="1" t="s">
        <v>118</v>
      </c>
      <c r="H33" s="1" t="s">
        <v>119</v>
      </c>
      <c r="I33" s="1" t="s">
        <v>120</v>
      </c>
      <c r="J33" s="1" t="s">
        <v>32</v>
      </c>
      <c r="K33" s="1" t="s">
        <v>46</v>
      </c>
      <c r="L33" s="2">
        <v>46905</v>
      </c>
      <c r="M33" s="4">
        <v>3020000</v>
      </c>
      <c r="N33" s="1" t="s">
        <v>23</v>
      </c>
      <c r="O33" s="3">
        <v>230</v>
      </c>
    </row>
    <row r="34" spans="1:15" x14ac:dyDescent="0.3">
      <c r="A34" s="1" t="s">
        <v>16</v>
      </c>
      <c r="B34" s="1" t="s">
        <v>159</v>
      </c>
      <c r="C34" s="1" t="s">
        <v>51</v>
      </c>
      <c r="D34" s="1" t="s">
        <v>162</v>
      </c>
      <c r="E34" s="1" t="s">
        <v>18</v>
      </c>
      <c r="F34" s="1">
        <v>25476</v>
      </c>
      <c r="G34" s="1" t="s">
        <v>121</v>
      </c>
      <c r="H34" s="1" t="s">
        <v>122</v>
      </c>
      <c r="I34" s="1" t="s">
        <v>123</v>
      </c>
      <c r="J34" s="1" t="s">
        <v>101</v>
      </c>
      <c r="L34" s="2">
        <v>46009</v>
      </c>
      <c r="M34" s="4">
        <v>1077405</v>
      </c>
      <c r="N34" s="1" t="s">
        <v>171</v>
      </c>
      <c r="O34" s="3">
        <v>345</v>
      </c>
    </row>
    <row r="35" spans="1:15" x14ac:dyDescent="0.3">
      <c r="A35" s="1" t="s">
        <v>16</v>
      </c>
      <c r="B35" s="1" t="s">
        <v>159</v>
      </c>
      <c r="C35" s="1" t="s">
        <v>51</v>
      </c>
      <c r="D35" s="1" t="s">
        <v>162</v>
      </c>
      <c r="E35" s="1" t="s">
        <v>18</v>
      </c>
      <c r="F35" s="1">
        <v>25477</v>
      </c>
      <c r="G35" s="1" t="s">
        <v>124</v>
      </c>
      <c r="H35" s="1" t="s">
        <v>125</v>
      </c>
      <c r="I35" s="1" t="s">
        <v>126</v>
      </c>
      <c r="J35" s="1" t="s">
        <v>101</v>
      </c>
      <c r="L35" s="2">
        <v>46209</v>
      </c>
      <c r="M35" s="4">
        <v>299719</v>
      </c>
      <c r="N35" s="1" t="s">
        <v>23</v>
      </c>
      <c r="O35" s="3">
        <v>138</v>
      </c>
    </row>
    <row r="36" spans="1:15" x14ac:dyDescent="0.3">
      <c r="A36" s="1" t="s">
        <v>16</v>
      </c>
      <c r="B36" s="1" t="s">
        <v>159</v>
      </c>
      <c r="C36" s="1" t="s">
        <v>51</v>
      </c>
      <c r="D36" s="1" t="s">
        <v>162</v>
      </c>
      <c r="E36" s="1" t="s">
        <v>18</v>
      </c>
      <c r="F36" s="1">
        <v>25488</v>
      </c>
      <c r="G36" s="1" t="s">
        <v>127</v>
      </c>
      <c r="H36" s="1" t="s">
        <v>128</v>
      </c>
      <c r="I36" s="1" t="s">
        <v>129</v>
      </c>
      <c r="J36" s="1" t="s">
        <v>101</v>
      </c>
      <c r="L36" s="2">
        <v>46009</v>
      </c>
      <c r="M36" s="4">
        <v>15946718</v>
      </c>
      <c r="N36" s="1" t="s">
        <v>171</v>
      </c>
      <c r="O36" s="3">
        <v>345</v>
      </c>
    </row>
    <row r="37" spans="1:15" x14ac:dyDescent="0.3">
      <c r="A37" s="1" t="s">
        <v>16</v>
      </c>
      <c r="B37" s="1" t="s">
        <v>159</v>
      </c>
      <c r="C37" s="1" t="s">
        <v>173</v>
      </c>
      <c r="D37" s="1" t="s">
        <v>163</v>
      </c>
      <c r="E37" s="1" t="s">
        <v>130</v>
      </c>
      <c r="F37" s="1">
        <v>25493</v>
      </c>
      <c r="G37" s="1" t="s">
        <v>131</v>
      </c>
      <c r="H37" s="1" t="s">
        <v>132</v>
      </c>
      <c r="I37" s="1" t="s">
        <v>133</v>
      </c>
      <c r="J37" s="1" t="s">
        <v>32</v>
      </c>
      <c r="K37" s="1" t="s">
        <v>46</v>
      </c>
      <c r="L37" s="2">
        <v>46539</v>
      </c>
      <c r="M37" s="4">
        <v>4300000</v>
      </c>
      <c r="N37" s="1" t="s">
        <v>23</v>
      </c>
      <c r="O37" s="3">
        <v>69</v>
      </c>
    </row>
    <row r="38" spans="1:15" x14ac:dyDescent="0.3">
      <c r="A38" s="1" t="s">
        <v>16</v>
      </c>
      <c r="B38" s="1" t="s">
        <v>159</v>
      </c>
      <c r="C38" s="1" t="s">
        <v>51</v>
      </c>
      <c r="D38" s="1" t="s">
        <v>162</v>
      </c>
      <c r="E38" s="1" t="s">
        <v>18</v>
      </c>
      <c r="F38" s="1">
        <v>50015</v>
      </c>
      <c r="G38" s="1" t="s">
        <v>134</v>
      </c>
      <c r="H38" s="1" t="s">
        <v>135</v>
      </c>
      <c r="I38" s="1" t="s">
        <v>136</v>
      </c>
      <c r="J38" s="1" t="s">
        <v>101</v>
      </c>
      <c r="L38" s="2">
        <v>46115</v>
      </c>
      <c r="M38" s="4">
        <v>8695000</v>
      </c>
      <c r="N38" s="1" t="s">
        <v>171</v>
      </c>
      <c r="O38" s="3">
        <v>138</v>
      </c>
    </row>
    <row r="39" spans="1:15" x14ac:dyDescent="0.3">
      <c r="A39" s="1" t="s">
        <v>16</v>
      </c>
      <c r="B39" s="1" t="s">
        <v>159</v>
      </c>
      <c r="C39" s="1" t="s">
        <v>51</v>
      </c>
      <c r="D39" s="1" t="s">
        <v>162</v>
      </c>
      <c r="E39" s="1" t="s">
        <v>18</v>
      </c>
      <c r="F39" s="1">
        <v>50016</v>
      </c>
      <c r="G39" s="1" t="s">
        <v>137</v>
      </c>
      <c r="H39" s="1" t="s">
        <v>138</v>
      </c>
      <c r="I39" s="1" t="s">
        <v>139</v>
      </c>
      <c r="J39" s="1" t="s">
        <v>101</v>
      </c>
      <c r="L39" s="2">
        <v>46119</v>
      </c>
      <c r="M39" s="4">
        <v>416559</v>
      </c>
      <c r="N39" s="1" t="s">
        <v>171</v>
      </c>
      <c r="O39" s="3">
        <v>138</v>
      </c>
    </row>
    <row r="40" spans="1:15" x14ac:dyDescent="0.3">
      <c r="A40" s="1" t="s">
        <v>16</v>
      </c>
      <c r="B40" s="1" t="s">
        <v>159</v>
      </c>
      <c r="C40" s="1" t="s">
        <v>64</v>
      </c>
      <c r="D40" s="1" t="s">
        <v>161</v>
      </c>
      <c r="E40" s="1" t="s">
        <v>65</v>
      </c>
      <c r="F40" s="1">
        <v>50046</v>
      </c>
      <c r="G40" s="1" t="s">
        <v>174</v>
      </c>
      <c r="H40" s="1" t="s">
        <v>140</v>
      </c>
      <c r="I40" s="1" t="s">
        <v>141</v>
      </c>
      <c r="J40" s="1" t="s">
        <v>101</v>
      </c>
      <c r="L40" s="2">
        <v>46357</v>
      </c>
      <c r="M40" s="4">
        <v>800000</v>
      </c>
      <c r="N40" s="1" t="s">
        <v>23</v>
      </c>
      <c r="O40" s="3">
        <v>138</v>
      </c>
    </row>
    <row r="41" spans="1:15" x14ac:dyDescent="0.3">
      <c r="A41" s="1" t="s">
        <v>16</v>
      </c>
      <c r="B41" s="1" t="s">
        <v>159</v>
      </c>
      <c r="C41" s="1" t="s">
        <v>64</v>
      </c>
      <c r="D41" s="1" t="s">
        <v>161</v>
      </c>
      <c r="E41" s="1" t="s">
        <v>65</v>
      </c>
      <c r="F41" s="1">
        <v>50053</v>
      </c>
      <c r="G41" s="1" t="s">
        <v>175</v>
      </c>
      <c r="H41" s="1" t="s">
        <v>142</v>
      </c>
      <c r="I41" s="1" t="s">
        <v>100</v>
      </c>
      <c r="J41" s="1" t="s">
        <v>101</v>
      </c>
      <c r="L41" s="2">
        <v>46478</v>
      </c>
      <c r="M41" s="4">
        <v>800000</v>
      </c>
      <c r="N41" s="1" t="s">
        <v>23</v>
      </c>
      <c r="O41" s="3">
        <v>138</v>
      </c>
    </row>
    <row r="42" spans="1:15" x14ac:dyDescent="0.3">
      <c r="A42" s="1" t="s">
        <v>16</v>
      </c>
      <c r="B42" s="1" t="s">
        <v>159</v>
      </c>
      <c r="C42" s="1" t="s">
        <v>72</v>
      </c>
      <c r="D42" s="1" t="s">
        <v>161</v>
      </c>
      <c r="E42" s="1" t="s">
        <v>73</v>
      </c>
      <c r="F42" s="1">
        <v>50054</v>
      </c>
      <c r="G42" s="1" t="s">
        <v>143</v>
      </c>
      <c r="H42" s="1" t="s">
        <v>144</v>
      </c>
      <c r="I42" s="1" t="s">
        <v>100</v>
      </c>
      <c r="J42" s="1" t="s">
        <v>101</v>
      </c>
      <c r="L42" s="2">
        <v>47270</v>
      </c>
      <c r="M42" s="4">
        <v>12000000</v>
      </c>
      <c r="N42" s="1" t="s">
        <v>23</v>
      </c>
      <c r="O42" s="3">
        <v>345</v>
      </c>
    </row>
    <row r="43" spans="1:15" x14ac:dyDescent="0.3">
      <c r="A43" s="1" t="s">
        <v>16</v>
      </c>
      <c r="B43" s="1" t="s">
        <v>159</v>
      </c>
      <c r="C43" s="1" t="s">
        <v>72</v>
      </c>
      <c r="D43" s="1" t="s">
        <v>161</v>
      </c>
      <c r="E43" s="1" t="s">
        <v>73</v>
      </c>
      <c r="F43" s="1">
        <v>50055</v>
      </c>
      <c r="G43" s="1" t="s">
        <v>145</v>
      </c>
      <c r="H43" s="1" t="s">
        <v>146</v>
      </c>
      <c r="I43" s="1" t="s">
        <v>100</v>
      </c>
      <c r="J43" s="1" t="s">
        <v>101</v>
      </c>
      <c r="L43" s="2">
        <v>46539</v>
      </c>
      <c r="M43" s="4">
        <v>12000000</v>
      </c>
      <c r="N43" s="1" t="s">
        <v>23</v>
      </c>
      <c r="O43" s="3">
        <v>345</v>
      </c>
    </row>
    <row r="44" spans="1:15" x14ac:dyDescent="0.3">
      <c r="A44" s="1" t="s">
        <v>16</v>
      </c>
      <c r="B44" s="1" t="s">
        <v>159</v>
      </c>
      <c r="C44" s="1" t="s">
        <v>64</v>
      </c>
      <c r="D44" s="1" t="s">
        <v>161</v>
      </c>
      <c r="E44" s="1" t="s">
        <v>65</v>
      </c>
      <c r="F44" s="1">
        <v>50076</v>
      </c>
      <c r="G44" s="1" t="s">
        <v>176</v>
      </c>
      <c r="H44" s="1" t="s">
        <v>147</v>
      </c>
      <c r="I44" s="1" t="s">
        <v>100</v>
      </c>
      <c r="J44" s="1" t="s">
        <v>101</v>
      </c>
      <c r="L44" s="2">
        <v>46357</v>
      </c>
      <c r="M44" s="4">
        <v>800000</v>
      </c>
      <c r="N44" s="1" t="s">
        <v>23</v>
      </c>
      <c r="O44" s="3">
        <v>138</v>
      </c>
    </row>
    <row r="45" spans="1:15" x14ac:dyDescent="0.3">
      <c r="A45" s="1" t="s">
        <v>16</v>
      </c>
      <c r="B45" s="1" t="s">
        <v>159</v>
      </c>
      <c r="C45" s="1" t="s">
        <v>64</v>
      </c>
      <c r="D45" s="1" t="s">
        <v>161</v>
      </c>
      <c r="E45" s="1" t="s">
        <v>65</v>
      </c>
      <c r="F45" s="1">
        <v>50078</v>
      </c>
      <c r="G45" s="1" t="s">
        <v>177</v>
      </c>
      <c r="H45" s="1" t="s">
        <v>148</v>
      </c>
      <c r="I45" s="1" t="s">
        <v>100</v>
      </c>
      <c r="J45" s="1" t="s">
        <v>101</v>
      </c>
      <c r="L45" s="2">
        <v>47453</v>
      </c>
      <c r="M45" s="4">
        <v>800000</v>
      </c>
      <c r="N45" s="1" t="s">
        <v>23</v>
      </c>
      <c r="O45" s="3">
        <v>138</v>
      </c>
    </row>
    <row r="46" spans="1:15" x14ac:dyDescent="0.3">
      <c r="A46" s="1" t="s">
        <v>16</v>
      </c>
      <c r="B46" s="1" t="s">
        <v>159</v>
      </c>
      <c r="C46" s="1" t="s">
        <v>64</v>
      </c>
      <c r="D46" s="1" t="s">
        <v>161</v>
      </c>
      <c r="E46" s="1" t="s">
        <v>65</v>
      </c>
      <c r="F46" s="1">
        <v>50080</v>
      </c>
      <c r="G46" s="1" t="s">
        <v>178</v>
      </c>
      <c r="H46" s="1" t="s">
        <v>149</v>
      </c>
      <c r="I46" s="1" t="s">
        <v>100</v>
      </c>
      <c r="J46" s="1" t="s">
        <v>101</v>
      </c>
      <c r="L46" s="2">
        <v>46722</v>
      </c>
      <c r="M46" s="4">
        <v>800000</v>
      </c>
      <c r="N46" s="1" t="s">
        <v>23</v>
      </c>
      <c r="O46" s="3">
        <v>138</v>
      </c>
    </row>
    <row r="47" spans="1:15" x14ac:dyDescent="0.3">
      <c r="A47" s="1" t="s">
        <v>16</v>
      </c>
      <c r="B47" s="1" t="s">
        <v>159</v>
      </c>
      <c r="C47" s="1" t="s">
        <v>64</v>
      </c>
      <c r="D47" s="1" t="s">
        <v>161</v>
      </c>
      <c r="E47" s="1" t="s">
        <v>65</v>
      </c>
      <c r="F47" s="1">
        <v>50083</v>
      </c>
      <c r="G47" s="1" t="s">
        <v>179</v>
      </c>
      <c r="H47" s="1" t="s">
        <v>150</v>
      </c>
      <c r="I47" s="1" t="s">
        <v>100</v>
      </c>
      <c r="J47" s="1" t="s">
        <v>101</v>
      </c>
      <c r="L47" s="2">
        <v>46357</v>
      </c>
      <c r="M47" s="4">
        <v>1100000</v>
      </c>
      <c r="N47" s="1" t="s">
        <v>23</v>
      </c>
      <c r="O47" s="3">
        <v>345</v>
      </c>
    </row>
    <row r="48" spans="1:15" x14ac:dyDescent="0.3">
      <c r="A48" s="1" t="s">
        <v>16</v>
      </c>
      <c r="B48" s="1" t="s">
        <v>159</v>
      </c>
      <c r="C48" s="1" t="s">
        <v>64</v>
      </c>
      <c r="D48" s="1" t="s">
        <v>161</v>
      </c>
      <c r="E48" s="1" t="s">
        <v>65</v>
      </c>
      <c r="F48" s="1">
        <v>50085</v>
      </c>
      <c r="G48" s="1" t="s">
        <v>180</v>
      </c>
      <c r="H48" s="1" t="s">
        <v>151</v>
      </c>
      <c r="I48" s="1" t="s">
        <v>100</v>
      </c>
      <c r="J48" s="1" t="s">
        <v>101</v>
      </c>
      <c r="L48" s="2">
        <v>47270</v>
      </c>
      <c r="M48" s="4">
        <v>800000</v>
      </c>
      <c r="N48" s="1" t="s">
        <v>23</v>
      </c>
      <c r="O48" s="3">
        <v>138</v>
      </c>
    </row>
    <row r="49" spans="1:16" x14ac:dyDescent="0.3">
      <c r="A49" s="1" t="s">
        <v>16</v>
      </c>
      <c r="B49" s="1" t="s">
        <v>159</v>
      </c>
      <c r="C49" s="1" t="s">
        <v>64</v>
      </c>
      <c r="D49" s="1" t="s">
        <v>161</v>
      </c>
      <c r="E49" s="1" t="s">
        <v>65</v>
      </c>
      <c r="F49" s="1">
        <v>50114</v>
      </c>
      <c r="G49" s="1" t="s">
        <v>181</v>
      </c>
      <c r="H49" s="1" t="s">
        <v>182</v>
      </c>
      <c r="I49" s="1" t="s">
        <v>100</v>
      </c>
      <c r="J49" s="1" t="s">
        <v>101</v>
      </c>
      <c r="L49" s="2">
        <v>46722</v>
      </c>
      <c r="M49" s="4">
        <v>9500000</v>
      </c>
      <c r="N49" s="1" t="s">
        <v>23</v>
      </c>
      <c r="O49" s="3">
        <v>138</v>
      </c>
    </row>
    <row r="50" spans="1:16" x14ac:dyDescent="0.3">
      <c r="A50" s="1" t="s">
        <v>16</v>
      </c>
      <c r="B50" s="1" t="s">
        <v>159</v>
      </c>
      <c r="C50" s="1" t="s">
        <v>64</v>
      </c>
      <c r="D50" s="1" t="s">
        <v>161</v>
      </c>
      <c r="E50" s="1" t="s">
        <v>65</v>
      </c>
      <c r="F50" s="1">
        <v>50116</v>
      </c>
      <c r="G50" s="1" t="s">
        <v>183</v>
      </c>
      <c r="H50" s="1" t="s">
        <v>152</v>
      </c>
      <c r="I50" s="1" t="s">
        <v>100</v>
      </c>
      <c r="J50" s="1" t="s">
        <v>101</v>
      </c>
      <c r="L50" s="2">
        <v>46722</v>
      </c>
      <c r="M50" s="4">
        <v>13000000</v>
      </c>
      <c r="N50" s="1" t="s">
        <v>23</v>
      </c>
      <c r="O50" s="3">
        <v>345</v>
      </c>
    </row>
    <row r="51" spans="1:16" x14ac:dyDescent="0.3">
      <c r="A51" s="1" t="s">
        <v>16</v>
      </c>
      <c r="B51" s="1" t="s">
        <v>159</v>
      </c>
      <c r="C51" s="1" t="s">
        <v>64</v>
      </c>
      <c r="D51" s="1" t="s">
        <v>161</v>
      </c>
      <c r="E51" s="1" t="s">
        <v>65</v>
      </c>
      <c r="F51" s="1">
        <v>50117</v>
      </c>
      <c r="G51" s="1" t="s">
        <v>184</v>
      </c>
      <c r="H51" s="1" t="s">
        <v>153</v>
      </c>
      <c r="I51" s="1" t="s">
        <v>100</v>
      </c>
      <c r="J51" s="1" t="s">
        <v>101</v>
      </c>
      <c r="L51" s="2">
        <v>46539</v>
      </c>
      <c r="M51" s="4">
        <v>9000000</v>
      </c>
      <c r="N51" s="1" t="s">
        <v>23</v>
      </c>
      <c r="O51" s="3">
        <v>138</v>
      </c>
    </row>
    <row r="52" spans="1:16" x14ac:dyDescent="0.3">
      <c r="A52" s="1" t="s">
        <v>16</v>
      </c>
      <c r="B52" s="1" t="s">
        <v>159</v>
      </c>
      <c r="C52" s="1" t="s">
        <v>37</v>
      </c>
      <c r="D52" s="1" t="s">
        <v>164</v>
      </c>
      <c r="E52" s="1" t="s">
        <v>42</v>
      </c>
      <c r="F52" s="1">
        <v>50122</v>
      </c>
      <c r="G52" s="1" t="s">
        <v>154</v>
      </c>
      <c r="H52" s="1" t="s">
        <v>155</v>
      </c>
      <c r="I52" s="1" t="s">
        <v>156</v>
      </c>
      <c r="J52" s="1" t="s">
        <v>32</v>
      </c>
      <c r="K52" s="1" t="s">
        <v>33</v>
      </c>
      <c r="L52" s="2">
        <v>47088</v>
      </c>
      <c r="M52" s="4">
        <v>12329000</v>
      </c>
      <c r="N52" s="1" t="s">
        <v>23</v>
      </c>
      <c r="O52" s="3">
        <v>345</v>
      </c>
      <c r="P52" s="3">
        <v>69</v>
      </c>
    </row>
    <row r="53" spans="1:16" x14ac:dyDescent="0.3">
      <c r="A53" s="1" t="s">
        <v>16</v>
      </c>
      <c r="B53" s="1" t="s">
        <v>159</v>
      </c>
      <c r="C53" s="1" t="s">
        <v>37</v>
      </c>
      <c r="D53" s="1" t="s">
        <v>164</v>
      </c>
      <c r="E53" s="1" t="s">
        <v>42</v>
      </c>
      <c r="F53" s="1">
        <v>50131</v>
      </c>
      <c r="G53" s="1" t="s">
        <v>157</v>
      </c>
      <c r="H53" s="1" t="s">
        <v>158</v>
      </c>
      <c r="I53" s="1" t="s">
        <v>156</v>
      </c>
      <c r="J53" s="1" t="s">
        <v>32</v>
      </c>
      <c r="K53" s="1" t="s">
        <v>33</v>
      </c>
      <c r="L53" s="2">
        <v>47087</v>
      </c>
      <c r="M53" s="4">
        <v>25700000</v>
      </c>
      <c r="N53" s="1" t="s">
        <v>23</v>
      </c>
      <c r="O53" s="3">
        <v>69</v>
      </c>
    </row>
    <row r="54" spans="1:16" x14ac:dyDescent="0.3">
      <c r="A54" s="1" t="s">
        <v>16</v>
      </c>
      <c r="B54" s="1" t="s">
        <v>159</v>
      </c>
      <c r="C54" s="1" t="s">
        <v>37</v>
      </c>
      <c r="D54" s="1" t="s">
        <v>164</v>
      </c>
      <c r="E54" s="1" t="s">
        <v>42</v>
      </c>
      <c r="F54" s="1">
        <v>50132</v>
      </c>
      <c r="G54" s="1" t="s">
        <v>185</v>
      </c>
      <c r="H54" s="1" t="s">
        <v>186</v>
      </c>
      <c r="I54" s="1" t="s">
        <v>187</v>
      </c>
      <c r="J54" s="1" t="s">
        <v>32</v>
      </c>
      <c r="K54" s="1" t="s">
        <v>33</v>
      </c>
      <c r="L54" s="2">
        <v>46842</v>
      </c>
      <c r="M54" s="4">
        <v>29000000</v>
      </c>
      <c r="N54" s="1" t="s">
        <v>23</v>
      </c>
      <c r="O54" s="3">
        <v>69</v>
      </c>
    </row>
    <row r="55" spans="1:16" x14ac:dyDescent="0.3">
      <c r="A55" s="1" t="s">
        <v>16</v>
      </c>
      <c r="B55" s="1" t="s">
        <v>159</v>
      </c>
      <c r="C55" s="1" t="s">
        <v>37</v>
      </c>
      <c r="D55" s="1" t="s">
        <v>164</v>
      </c>
      <c r="E55" s="1" t="s">
        <v>42</v>
      </c>
      <c r="F55" s="1">
        <v>50133</v>
      </c>
      <c r="G55" s="1" t="s">
        <v>188</v>
      </c>
      <c r="H55" s="1" t="s">
        <v>189</v>
      </c>
      <c r="I55" s="1" t="s">
        <v>156</v>
      </c>
      <c r="J55" s="1" t="s">
        <v>32</v>
      </c>
      <c r="K55" s="1" t="s">
        <v>33</v>
      </c>
      <c r="L55" s="2">
        <v>46903</v>
      </c>
      <c r="M55" s="4">
        <v>22300000</v>
      </c>
      <c r="N55" s="1" t="s">
        <v>23</v>
      </c>
      <c r="O55" s="3">
        <v>69</v>
      </c>
    </row>
    <row r="56" spans="1:16" x14ac:dyDescent="0.3">
      <c r="A56" s="1" t="s">
        <v>16</v>
      </c>
      <c r="B56" s="1" t="s">
        <v>159</v>
      </c>
      <c r="C56" s="1" t="s">
        <v>72</v>
      </c>
      <c r="D56" s="1" t="s">
        <v>161</v>
      </c>
      <c r="E56" s="1" t="s">
        <v>73</v>
      </c>
      <c r="F56" s="1">
        <v>50177</v>
      </c>
      <c r="G56" s="1" t="s">
        <v>190</v>
      </c>
      <c r="H56" s="1" t="s">
        <v>191</v>
      </c>
      <c r="I56" s="1" t="s">
        <v>100</v>
      </c>
      <c r="J56" s="1" t="s">
        <v>101</v>
      </c>
      <c r="L56" s="2">
        <v>46357</v>
      </c>
      <c r="M56" s="4">
        <v>3500000</v>
      </c>
      <c r="N56" s="1" t="s">
        <v>23</v>
      </c>
      <c r="O56" s="3">
        <v>138</v>
      </c>
    </row>
    <row r="57" spans="1:16" x14ac:dyDescent="0.3">
      <c r="A57" s="1" t="s">
        <v>16</v>
      </c>
      <c r="B57" s="1" t="s">
        <v>159</v>
      </c>
      <c r="C57" s="1" t="s">
        <v>37</v>
      </c>
      <c r="D57" s="1" t="s">
        <v>164</v>
      </c>
      <c r="E57" s="1" t="s">
        <v>192</v>
      </c>
      <c r="F57" s="1">
        <v>50179</v>
      </c>
      <c r="G57" s="1" t="s">
        <v>193</v>
      </c>
      <c r="H57" s="1" t="s">
        <v>194</v>
      </c>
      <c r="I57" s="1" t="s">
        <v>195</v>
      </c>
      <c r="J57" s="1" t="s">
        <v>32</v>
      </c>
      <c r="K57" s="1" t="s">
        <v>33</v>
      </c>
      <c r="L57" s="2">
        <v>47483</v>
      </c>
      <c r="M57" s="4">
        <v>81000000</v>
      </c>
      <c r="N57" s="1" t="s">
        <v>23</v>
      </c>
      <c r="O57" s="3">
        <v>345</v>
      </c>
      <c r="P57" s="3">
        <v>69</v>
      </c>
    </row>
    <row r="58" spans="1:16" x14ac:dyDescent="0.3">
      <c r="A58" s="1" t="s">
        <v>16</v>
      </c>
      <c r="B58" s="1" t="s">
        <v>159</v>
      </c>
      <c r="C58" s="1" t="s">
        <v>37</v>
      </c>
      <c r="D58" s="1" t="s">
        <v>164</v>
      </c>
      <c r="E58" s="1" t="s">
        <v>192</v>
      </c>
      <c r="F58" s="1">
        <v>50180</v>
      </c>
      <c r="G58" s="1" t="s">
        <v>196</v>
      </c>
      <c r="H58" s="1" t="s">
        <v>197</v>
      </c>
      <c r="I58" s="1" t="s">
        <v>198</v>
      </c>
      <c r="J58" s="1" t="s">
        <v>32</v>
      </c>
      <c r="K58" s="1" t="s">
        <v>82</v>
      </c>
      <c r="L58" s="2">
        <v>47299</v>
      </c>
      <c r="M58" s="4">
        <v>500000</v>
      </c>
      <c r="N58" s="1" t="s">
        <v>23</v>
      </c>
      <c r="O58" s="3">
        <v>0</v>
      </c>
    </row>
    <row r="59" spans="1:16" x14ac:dyDescent="0.3">
      <c r="A59" s="1" t="s">
        <v>16</v>
      </c>
      <c r="B59" s="1" t="s">
        <v>159</v>
      </c>
      <c r="C59" s="1" t="s">
        <v>37</v>
      </c>
      <c r="D59" s="1" t="s">
        <v>164</v>
      </c>
      <c r="E59" s="1" t="s">
        <v>192</v>
      </c>
      <c r="F59" s="1">
        <v>50181</v>
      </c>
      <c r="G59" s="1" t="s">
        <v>199</v>
      </c>
      <c r="H59" s="1" t="s">
        <v>200</v>
      </c>
      <c r="I59" s="1" t="s">
        <v>201</v>
      </c>
      <c r="J59" s="1" t="s">
        <v>32</v>
      </c>
      <c r="K59" s="1" t="s">
        <v>46</v>
      </c>
      <c r="L59" s="2">
        <v>47299</v>
      </c>
      <c r="M59" s="4">
        <v>5100000</v>
      </c>
      <c r="N59" s="1" t="s">
        <v>23</v>
      </c>
      <c r="O59" s="3">
        <v>345</v>
      </c>
      <c r="P59" s="3">
        <v>69</v>
      </c>
    </row>
    <row r="60" spans="1:16" x14ac:dyDescent="0.3">
      <c r="A60" s="1" t="s">
        <v>16</v>
      </c>
      <c r="B60" s="1" t="s">
        <v>159</v>
      </c>
      <c r="C60" s="1" t="s">
        <v>37</v>
      </c>
      <c r="D60" s="1" t="s">
        <v>164</v>
      </c>
      <c r="E60" s="1" t="s">
        <v>192</v>
      </c>
      <c r="F60" s="1">
        <v>50182</v>
      </c>
      <c r="G60" s="1" t="s">
        <v>202</v>
      </c>
      <c r="H60" s="1" t="s">
        <v>203</v>
      </c>
      <c r="I60" s="1" t="s">
        <v>204</v>
      </c>
      <c r="J60" s="1" t="s">
        <v>32</v>
      </c>
      <c r="K60" s="1" t="s">
        <v>205</v>
      </c>
      <c r="L60" s="2">
        <v>47299</v>
      </c>
      <c r="M60" s="4">
        <v>13900000</v>
      </c>
      <c r="N60" s="1" t="s">
        <v>23</v>
      </c>
      <c r="O60" s="3">
        <v>345</v>
      </c>
      <c r="P60" s="3">
        <v>69</v>
      </c>
    </row>
    <row r="61" spans="1:16" x14ac:dyDescent="0.3">
      <c r="A61" s="1" t="s">
        <v>16</v>
      </c>
      <c r="B61" s="1" t="s">
        <v>159</v>
      </c>
      <c r="C61" s="1" t="s">
        <v>37</v>
      </c>
      <c r="D61" s="1" t="s">
        <v>164</v>
      </c>
      <c r="E61" s="1" t="s">
        <v>42</v>
      </c>
      <c r="F61" s="1">
        <v>50509</v>
      </c>
      <c r="G61" s="1" t="s">
        <v>206</v>
      </c>
      <c r="H61" s="1" t="s">
        <v>207</v>
      </c>
      <c r="I61" s="1" t="s">
        <v>208</v>
      </c>
      <c r="J61" s="1" t="s">
        <v>32</v>
      </c>
      <c r="K61" s="1" t="s">
        <v>33</v>
      </c>
      <c r="L61" s="2">
        <v>47635</v>
      </c>
      <c r="M61" s="4">
        <v>28900000</v>
      </c>
      <c r="N61" s="1" t="s">
        <v>23</v>
      </c>
      <c r="O61" s="3">
        <v>138</v>
      </c>
    </row>
    <row r="62" spans="1:16" x14ac:dyDescent="0.3">
      <c r="A62" s="1" t="s">
        <v>16</v>
      </c>
      <c r="B62" s="1" t="s">
        <v>160</v>
      </c>
      <c r="C62" s="1" t="s">
        <v>72</v>
      </c>
      <c r="D62" s="1" t="s">
        <v>161</v>
      </c>
      <c r="E62" s="1" t="s">
        <v>73</v>
      </c>
      <c r="F62" s="1">
        <v>50522</v>
      </c>
      <c r="G62" s="1" t="s">
        <v>209</v>
      </c>
      <c r="H62" s="1" t="s">
        <v>210</v>
      </c>
      <c r="I62" s="1" t="s">
        <v>22</v>
      </c>
      <c r="J62" s="1" t="s">
        <v>22</v>
      </c>
      <c r="L62" s="2">
        <v>47453</v>
      </c>
      <c r="M62" s="4">
        <v>1</v>
      </c>
      <c r="N62" s="1" t="s">
        <v>23</v>
      </c>
      <c r="O62" s="3">
        <v>345</v>
      </c>
    </row>
    <row r="63" spans="1:16" x14ac:dyDescent="0.3">
      <c r="A63" s="1" t="s">
        <v>16</v>
      </c>
      <c r="B63" s="1" t="s">
        <v>159</v>
      </c>
      <c r="C63" s="1" t="s">
        <v>37</v>
      </c>
      <c r="D63" s="1" t="s">
        <v>164</v>
      </c>
      <c r="E63" s="1" t="s">
        <v>42</v>
      </c>
      <c r="F63" s="1">
        <v>50537</v>
      </c>
      <c r="G63" s="1" t="s">
        <v>211</v>
      </c>
      <c r="H63" s="1" t="s">
        <v>212</v>
      </c>
      <c r="I63" s="1" t="s">
        <v>156</v>
      </c>
      <c r="J63" s="1" t="s">
        <v>32</v>
      </c>
      <c r="K63" s="1" t="s">
        <v>33</v>
      </c>
      <c r="L63" s="2">
        <v>47270</v>
      </c>
      <c r="M63" s="4">
        <v>14000000</v>
      </c>
      <c r="N63" s="1" t="s">
        <v>23</v>
      </c>
      <c r="O63" s="3">
        <v>69</v>
      </c>
    </row>
    <row r="64" spans="1:16" x14ac:dyDescent="0.3">
      <c r="A64" s="1" t="s">
        <v>16</v>
      </c>
      <c r="B64" s="1" t="s">
        <v>159</v>
      </c>
      <c r="C64" s="1" t="s">
        <v>51</v>
      </c>
      <c r="D64" s="1" t="s">
        <v>162</v>
      </c>
      <c r="E64" s="1" t="s">
        <v>18</v>
      </c>
      <c r="F64" s="1">
        <v>50595</v>
      </c>
      <c r="G64" s="1" t="s">
        <v>213</v>
      </c>
      <c r="H64" s="1" t="s">
        <v>214</v>
      </c>
      <c r="I64" s="1" t="s">
        <v>215</v>
      </c>
      <c r="J64" s="1" t="s">
        <v>101</v>
      </c>
      <c r="L64" s="2">
        <v>46216</v>
      </c>
      <c r="M64" s="4">
        <v>1318136</v>
      </c>
      <c r="N64" s="1" t="s">
        <v>23</v>
      </c>
      <c r="O64" s="3">
        <v>345</v>
      </c>
    </row>
    <row r="65" spans="1:16" x14ac:dyDescent="0.3">
      <c r="A65" s="1" t="s">
        <v>16</v>
      </c>
      <c r="B65" s="1" t="s">
        <v>159</v>
      </c>
      <c r="C65" s="1" t="s">
        <v>51</v>
      </c>
      <c r="D65" s="1" t="s">
        <v>162</v>
      </c>
      <c r="E65" s="1" t="s">
        <v>18</v>
      </c>
      <c r="F65" s="1">
        <v>50596</v>
      </c>
      <c r="G65" s="1" t="s">
        <v>216</v>
      </c>
      <c r="H65" s="1" t="s">
        <v>217</v>
      </c>
      <c r="I65" s="1" t="s">
        <v>218</v>
      </c>
      <c r="J65" s="1" t="s">
        <v>101</v>
      </c>
      <c r="L65" s="2">
        <v>46102</v>
      </c>
      <c r="M65" s="4">
        <v>27806984</v>
      </c>
      <c r="N65" s="1" t="s">
        <v>171</v>
      </c>
      <c r="O65" s="3">
        <v>345</v>
      </c>
    </row>
    <row r="66" spans="1:16" x14ac:dyDescent="0.3">
      <c r="A66" s="1" t="s">
        <v>16</v>
      </c>
      <c r="B66" s="1" t="s">
        <v>159</v>
      </c>
      <c r="C66" s="1" t="s">
        <v>219</v>
      </c>
      <c r="D66" s="1" t="s">
        <v>164</v>
      </c>
      <c r="E66" s="1" t="s">
        <v>56</v>
      </c>
      <c r="F66" s="1">
        <v>50605</v>
      </c>
      <c r="G66" s="1" t="s">
        <v>220</v>
      </c>
      <c r="H66" s="1" t="s">
        <v>221</v>
      </c>
      <c r="I66" s="1" t="s">
        <v>221</v>
      </c>
      <c r="J66" s="1" t="s">
        <v>101</v>
      </c>
      <c r="L66" s="2">
        <v>47362</v>
      </c>
      <c r="M66" s="4">
        <v>230550</v>
      </c>
      <c r="N66" s="1" t="s">
        <v>23</v>
      </c>
      <c r="O66" s="3">
        <v>345</v>
      </c>
    </row>
    <row r="67" spans="1:16" x14ac:dyDescent="0.3">
      <c r="A67" s="1" t="s">
        <v>16</v>
      </c>
      <c r="B67" s="1" t="s">
        <v>159</v>
      </c>
      <c r="C67" s="1" t="s">
        <v>219</v>
      </c>
      <c r="D67" s="1" t="s">
        <v>164</v>
      </c>
      <c r="E67" s="1" t="s">
        <v>56</v>
      </c>
      <c r="F67" s="1">
        <v>50606</v>
      </c>
      <c r="G67" s="1" t="s">
        <v>222</v>
      </c>
      <c r="H67" s="1" t="s">
        <v>223</v>
      </c>
      <c r="J67" s="1" t="s">
        <v>101</v>
      </c>
      <c r="L67" s="2">
        <v>46752</v>
      </c>
      <c r="M67" s="4">
        <v>1500000</v>
      </c>
      <c r="N67" s="1" t="s">
        <v>23</v>
      </c>
      <c r="O67" s="3">
        <v>161</v>
      </c>
    </row>
    <row r="68" spans="1:16" x14ac:dyDescent="0.3">
      <c r="A68" s="1" t="s">
        <v>16</v>
      </c>
      <c r="B68" s="1" t="s">
        <v>159</v>
      </c>
      <c r="C68" s="1" t="s">
        <v>224</v>
      </c>
      <c r="D68" s="1" t="s">
        <v>164</v>
      </c>
      <c r="E68" s="1" t="s">
        <v>56</v>
      </c>
      <c r="F68" s="1">
        <v>50609</v>
      </c>
      <c r="G68" s="1" t="s">
        <v>225</v>
      </c>
      <c r="H68" s="1" t="s">
        <v>226</v>
      </c>
      <c r="I68" s="1" t="s">
        <v>227</v>
      </c>
      <c r="J68" s="1" t="s">
        <v>32</v>
      </c>
      <c r="K68" s="1" t="s">
        <v>33</v>
      </c>
      <c r="L68" s="2">
        <v>47086</v>
      </c>
      <c r="M68" s="4">
        <v>4427082</v>
      </c>
      <c r="N68" s="1" t="s">
        <v>23</v>
      </c>
      <c r="O68" s="3">
        <v>115</v>
      </c>
    </row>
    <row r="69" spans="1:16" x14ac:dyDescent="0.3">
      <c r="A69" s="1" t="s">
        <v>16</v>
      </c>
      <c r="B69" s="1" t="s">
        <v>159</v>
      </c>
      <c r="C69" s="1" t="s">
        <v>55</v>
      </c>
      <c r="D69" s="1" t="s">
        <v>164</v>
      </c>
      <c r="E69" s="1" t="s">
        <v>56</v>
      </c>
      <c r="F69" s="1">
        <v>50618</v>
      </c>
      <c r="G69" s="1" t="s">
        <v>228</v>
      </c>
      <c r="H69" s="1" t="s">
        <v>229</v>
      </c>
      <c r="I69" s="1" t="s">
        <v>33</v>
      </c>
      <c r="J69" s="1" t="s">
        <v>32</v>
      </c>
      <c r="K69" s="1" t="s">
        <v>33</v>
      </c>
      <c r="L69" s="2">
        <v>46387</v>
      </c>
      <c r="M69" s="4">
        <v>3000000</v>
      </c>
      <c r="N69" s="1" t="s">
        <v>23</v>
      </c>
      <c r="O69" s="3">
        <v>230</v>
      </c>
    </row>
    <row r="70" spans="1:16" x14ac:dyDescent="0.3">
      <c r="A70" s="1" t="s">
        <v>16</v>
      </c>
      <c r="B70" s="1" t="s">
        <v>159</v>
      </c>
      <c r="C70" s="1" t="s">
        <v>37</v>
      </c>
      <c r="D70" s="1" t="s">
        <v>164</v>
      </c>
      <c r="E70" s="1" t="s">
        <v>18</v>
      </c>
      <c r="F70" s="1">
        <v>50620</v>
      </c>
      <c r="G70" s="1" t="s">
        <v>230</v>
      </c>
      <c r="H70" s="1" t="s">
        <v>231</v>
      </c>
      <c r="I70" s="1" t="s">
        <v>85</v>
      </c>
      <c r="J70" s="1" t="s">
        <v>32</v>
      </c>
      <c r="K70" s="1" t="s">
        <v>33</v>
      </c>
      <c r="L70" s="2">
        <v>47453</v>
      </c>
      <c r="M70" s="4">
        <v>4486566</v>
      </c>
      <c r="N70" s="1" t="s">
        <v>23</v>
      </c>
      <c r="O70" s="3">
        <v>69</v>
      </c>
    </row>
    <row r="71" spans="1:16" x14ac:dyDescent="0.3">
      <c r="A71" s="1" t="s">
        <v>16</v>
      </c>
      <c r="B71" s="1" t="s">
        <v>160</v>
      </c>
      <c r="C71" s="1" t="s">
        <v>232</v>
      </c>
      <c r="D71" s="1" t="s">
        <v>161</v>
      </c>
      <c r="E71" s="1" t="s">
        <v>28</v>
      </c>
      <c r="F71" s="1">
        <v>50621</v>
      </c>
      <c r="G71" s="1" t="s">
        <v>233</v>
      </c>
      <c r="H71" s="1" t="s">
        <v>234</v>
      </c>
      <c r="I71" s="1" t="s">
        <v>235</v>
      </c>
      <c r="J71" s="1" t="s">
        <v>32</v>
      </c>
      <c r="K71" s="1" t="s">
        <v>205</v>
      </c>
      <c r="L71" s="2">
        <v>47848</v>
      </c>
      <c r="M71" s="4">
        <v>3550391</v>
      </c>
      <c r="N71" s="1" t="s">
        <v>23</v>
      </c>
      <c r="O71" s="3">
        <v>69</v>
      </c>
      <c r="P71" s="3">
        <v>12</v>
      </c>
    </row>
    <row r="72" spans="1:16" x14ac:dyDescent="0.3">
      <c r="A72" s="1" t="s">
        <v>16</v>
      </c>
      <c r="B72" s="1" t="s">
        <v>159</v>
      </c>
      <c r="C72" s="1" t="s">
        <v>37</v>
      </c>
      <c r="D72" s="1" t="s">
        <v>164</v>
      </c>
      <c r="E72" s="1" t="s">
        <v>42</v>
      </c>
      <c r="F72" s="1">
        <v>50627</v>
      </c>
      <c r="G72" s="1" t="s">
        <v>236</v>
      </c>
      <c r="H72" s="1" t="s">
        <v>237</v>
      </c>
      <c r="I72" s="1" t="s">
        <v>40</v>
      </c>
      <c r="J72" s="1" t="s">
        <v>32</v>
      </c>
      <c r="K72" s="1" t="s">
        <v>33</v>
      </c>
      <c r="L72" s="2">
        <v>47453</v>
      </c>
      <c r="M72" s="4">
        <v>15500000</v>
      </c>
      <c r="N72" s="1" t="s">
        <v>23</v>
      </c>
      <c r="O72" s="3">
        <v>69</v>
      </c>
    </row>
    <row r="73" spans="1:16" x14ac:dyDescent="0.3">
      <c r="A73" s="1" t="s">
        <v>16</v>
      </c>
      <c r="B73" s="1" t="s">
        <v>159</v>
      </c>
      <c r="C73" s="1" t="s">
        <v>17</v>
      </c>
      <c r="D73" s="1" t="s">
        <v>162</v>
      </c>
      <c r="E73" s="1" t="s">
        <v>18</v>
      </c>
      <c r="F73" s="1">
        <v>50630</v>
      </c>
      <c r="G73" s="1" t="s">
        <v>238</v>
      </c>
      <c r="H73" s="1" t="s">
        <v>239</v>
      </c>
      <c r="I73" s="1" t="s">
        <v>240</v>
      </c>
      <c r="J73" s="1" t="s">
        <v>101</v>
      </c>
      <c r="L73" s="2">
        <v>46204</v>
      </c>
      <c r="M73" s="4">
        <v>2001789</v>
      </c>
      <c r="N73" s="1" t="s">
        <v>23</v>
      </c>
      <c r="O73" s="3">
        <v>120</v>
      </c>
    </row>
    <row r="74" spans="1:16" x14ac:dyDescent="0.3">
      <c r="A74" s="1" t="s">
        <v>16</v>
      </c>
      <c r="B74" s="1" t="s">
        <v>159</v>
      </c>
      <c r="C74" s="1" t="s">
        <v>64</v>
      </c>
      <c r="D74" s="1" t="s">
        <v>161</v>
      </c>
      <c r="E74" s="1" t="s">
        <v>65</v>
      </c>
      <c r="F74" s="1">
        <v>50633</v>
      </c>
      <c r="G74" s="1" t="s">
        <v>241</v>
      </c>
      <c r="H74" s="1" t="s">
        <v>242</v>
      </c>
      <c r="I74" s="1" t="s">
        <v>205</v>
      </c>
      <c r="J74" s="1" t="s">
        <v>22</v>
      </c>
      <c r="L74" s="2">
        <v>46722</v>
      </c>
      <c r="M74" s="4">
        <v>50250000</v>
      </c>
      <c r="N74" s="1" t="s">
        <v>50</v>
      </c>
      <c r="O74" s="3">
        <v>138</v>
      </c>
    </row>
    <row r="75" spans="1:16" x14ac:dyDescent="0.3">
      <c r="A75" s="1" t="s">
        <v>16</v>
      </c>
      <c r="B75" s="1" t="s">
        <v>159</v>
      </c>
      <c r="C75" s="1" t="s">
        <v>37</v>
      </c>
      <c r="D75" s="1" t="s">
        <v>164</v>
      </c>
      <c r="E75" s="1" t="s">
        <v>42</v>
      </c>
      <c r="F75" s="1">
        <v>50634</v>
      </c>
      <c r="G75" s="1" t="s">
        <v>243</v>
      </c>
      <c r="H75" s="1" t="s">
        <v>244</v>
      </c>
      <c r="I75" s="1" t="s">
        <v>40</v>
      </c>
      <c r="J75" s="1" t="s">
        <v>32</v>
      </c>
      <c r="K75" s="1" t="s">
        <v>33</v>
      </c>
      <c r="L75" s="2">
        <v>47453</v>
      </c>
      <c r="M75" s="4">
        <v>35000000</v>
      </c>
      <c r="N75" s="1" t="s">
        <v>23</v>
      </c>
      <c r="O75" s="3">
        <v>138</v>
      </c>
    </row>
    <row r="76" spans="1:16" x14ac:dyDescent="0.3">
      <c r="A76" s="1" t="s">
        <v>16</v>
      </c>
      <c r="B76" s="1" t="s">
        <v>159</v>
      </c>
      <c r="C76" s="1" t="s">
        <v>37</v>
      </c>
      <c r="D76" s="1" t="s">
        <v>164</v>
      </c>
      <c r="E76" s="1" t="s">
        <v>42</v>
      </c>
      <c r="F76" s="1">
        <v>50635</v>
      </c>
      <c r="G76" s="1" t="s">
        <v>245</v>
      </c>
      <c r="H76" s="1" t="s">
        <v>246</v>
      </c>
      <c r="I76" s="1" t="s">
        <v>156</v>
      </c>
      <c r="J76" s="1" t="s">
        <v>32</v>
      </c>
      <c r="K76" s="1" t="s">
        <v>33</v>
      </c>
      <c r="L76" s="2">
        <v>47453</v>
      </c>
      <c r="M76" s="4">
        <v>3900000</v>
      </c>
      <c r="N76" s="1" t="s">
        <v>23</v>
      </c>
      <c r="O76" s="3">
        <v>0</v>
      </c>
    </row>
    <row r="77" spans="1:16" x14ac:dyDescent="0.3">
      <c r="A77" s="1" t="s">
        <v>16</v>
      </c>
      <c r="B77" s="1" t="s">
        <v>159</v>
      </c>
      <c r="C77" s="1" t="s">
        <v>37</v>
      </c>
      <c r="D77" s="1" t="s">
        <v>164</v>
      </c>
      <c r="E77" s="1" t="s">
        <v>42</v>
      </c>
      <c r="F77" s="1">
        <v>50638</v>
      </c>
      <c r="G77" s="1" t="s">
        <v>247</v>
      </c>
      <c r="H77" s="1" t="s">
        <v>248</v>
      </c>
      <c r="I77" s="1" t="s">
        <v>249</v>
      </c>
      <c r="J77" s="1" t="s">
        <v>32</v>
      </c>
      <c r="K77" s="1" t="s">
        <v>82</v>
      </c>
      <c r="L77" s="2">
        <v>47848</v>
      </c>
      <c r="M77" s="4">
        <v>17000000</v>
      </c>
      <c r="N77" s="1" t="s">
        <v>23</v>
      </c>
      <c r="O77" s="3">
        <v>69</v>
      </c>
    </row>
    <row r="78" spans="1:16" x14ac:dyDescent="0.3">
      <c r="A78" s="1" t="s">
        <v>16</v>
      </c>
      <c r="B78" s="1" t="s">
        <v>159</v>
      </c>
      <c r="C78" s="1" t="s">
        <v>37</v>
      </c>
      <c r="D78" s="1" t="s">
        <v>164</v>
      </c>
      <c r="E78" s="1" t="s">
        <v>42</v>
      </c>
      <c r="F78" s="1">
        <v>50639</v>
      </c>
      <c r="G78" s="1" t="s">
        <v>250</v>
      </c>
      <c r="H78" s="1" t="s">
        <v>251</v>
      </c>
      <c r="I78" s="1" t="s">
        <v>249</v>
      </c>
      <c r="J78" s="1" t="s">
        <v>32</v>
      </c>
      <c r="K78" s="1" t="s">
        <v>82</v>
      </c>
      <c r="L78" s="2">
        <v>47483</v>
      </c>
      <c r="M78" s="4">
        <v>4000000</v>
      </c>
      <c r="N78" s="1" t="s">
        <v>23</v>
      </c>
      <c r="O78" s="3">
        <v>0</v>
      </c>
    </row>
    <row r="79" spans="1:16" x14ac:dyDescent="0.3">
      <c r="A79" s="1" t="s">
        <v>16</v>
      </c>
      <c r="B79" s="1" t="s">
        <v>159</v>
      </c>
      <c r="C79" s="1" t="s">
        <v>37</v>
      </c>
      <c r="D79" s="1" t="s">
        <v>164</v>
      </c>
      <c r="E79" s="1" t="s">
        <v>18</v>
      </c>
      <c r="F79" s="1">
        <v>50640</v>
      </c>
      <c r="G79" s="1" t="s">
        <v>252</v>
      </c>
      <c r="H79" s="1" t="s">
        <v>253</v>
      </c>
      <c r="I79" s="1" t="s">
        <v>249</v>
      </c>
      <c r="J79" s="1" t="s">
        <v>32</v>
      </c>
      <c r="K79" s="1" t="s">
        <v>82</v>
      </c>
      <c r="L79" s="2">
        <v>47483</v>
      </c>
      <c r="M79" s="4">
        <v>9000000</v>
      </c>
      <c r="N79" s="1" t="s">
        <v>23</v>
      </c>
      <c r="O79" s="3">
        <v>0</v>
      </c>
    </row>
    <row r="80" spans="1:16" x14ac:dyDescent="0.3">
      <c r="A80" s="1" t="s">
        <v>16</v>
      </c>
      <c r="B80" s="1" t="s">
        <v>159</v>
      </c>
      <c r="C80" s="1" t="s">
        <v>37</v>
      </c>
      <c r="D80" s="1" t="s">
        <v>164</v>
      </c>
      <c r="E80" s="1" t="s">
        <v>18</v>
      </c>
      <c r="F80" s="1">
        <v>50641</v>
      </c>
      <c r="G80" s="1" t="s">
        <v>254</v>
      </c>
      <c r="H80" s="1" t="s">
        <v>255</v>
      </c>
      <c r="I80" s="1" t="s">
        <v>249</v>
      </c>
      <c r="J80" s="1" t="s">
        <v>32</v>
      </c>
      <c r="K80" s="1" t="s">
        <v>82</v>
      </c>
      <c r="L80" s="2">
        <v>47483</v>
      </c>
      <c r="M80" s="4">
        <v>5000000</v>
      </c>
      <c r="N80" s="1" t="s">
        <v>23</v>
      </c>
      <c r="O80" s="3">
        <v>69</v>
      </c>
    </row>
    <row r="81" spans="1:15" x14ac:dyDescent="0.3">
      <c r="A81" s="1" t="s">
        <v>16</v>
      </c>
      <c r="B81" s="1" t="s">
        <v>159</v>
      </c>
      <c r="C81" s="1" t="s">
        <v>37</v>
      </c>
      <c r="D81" s="1" t="s">
        <v>164</v>
      </c>
      <c r="E81" s="1" t="s">
        <v>42</v>
      </c>
      <c r="F81" s="1">
        <v>50645</v>
      </c>
      <c r="G81" s="1" t="s">
        <v>256</v>
      </c>
      <c r="H81" s="1" t="s">
        <v>257</v>
      </c>
      <c r="I81" s="1" t="s">
        <v>40</v>
      </c>
      <c r="J81" s="1" t="s">
        <v>32</v>
      </c>
      <c r="K81" s="1" t="s">
        <v>33</v>
      </c>
      <c r="L81" s="2">
        <v>47453</v>
      </c>
      <c r="M81" s="4">
        <v>6500000</v>
      </c>
      <c r="N81" s="1" t="s">
        <v>23</v>
      </c>
      <c r="O81" s="3">
        <v>69</v>
      </c>
    </row>
    <row r="82" spans="1:15" x14ac:dyDescent="0.3">
      <c r="A82" s="1" t="s">
        <v>16</v>
      </c>
      <c r="B82" s="1" t="s">
        <v>159</v>
      </c>
      <c r="C82" s="1" t="s">
        <v>37</v>
      </c>
      <c r="D82" s="1" t="s">
        <v>164</v>
      </c>
      <c r="E82" s="1" t="s">
        <v>18</v>
      </c>
      <c r="F82" s="1">
        <v>50648</v>
      </c>
      <c r="G82" s="1" t="s">
        <v>258</v>
      </c>
      <c r="H82" s="1" t="s">
        <v>259</v>
      </c>
      <c r="I82" s="1" t="s">
        <v>40</v>
      </c>
      <c r="J82" s="1" t="s">
        <v>32</v>
      </c>
      <c r="K82" s="1" t="s">
        <v>33</v>
      </c>
      <c r="L82" s="2">
        <v>47482</v>
      </c>
      <c r="M82" s="4">
        <v>36000000</v>
      </c>
      <c r="N82" s="1" t="s">
        <v>23</v>
      </c>
      <c r="O82" s="3">
        <v>69</v>
      </c>
    </row>
    <row r="83" spans="1:15" x14ac:dyDescent="0.3">
      <c r="A83" s="1" t="s">
        <v>16</v>
      </c>
      <c r="B83" s="1" t="s">
        <v>159</v>
      </c>
      <c r="C83" s="1" t="s">
        <v>37</v>
      </c>
      <c r="D83" s="1" t="s">
        <v>164</v>
      </c>
      <c r="E83" s="1" t="s">
        <v>42</v>
      </c>
      <c r="F83" s="1">
        <v>50649</v>
      </c>
      <c r="G83" s="1" t="s">
        <v>260</v>
      </c>
      <c r="H83" s="1" t="s">
        <v>261</v>
      </c>
      <c r="I83" s="1" t="s">
        <v>40</v>
      </c>
      <c r="J83" s="1" t="s">
        <v>32</v>
      </c>
      <c r="K83" s="1" t="s">
        <v>33</v>
      </c>
      <c r="L83" s="2">
        <v>47453</v>
      </c>
      <c r="M83" s="4">
        <v>18100000</v>
      </c>
      <c r="N83" s="1" t="s">
        <v>23</v>
      </c>
      <c r="O83" s="3">
        <v>69</v>
      </c>
    </row>
    <row r="84" spans="1:15" x14ac:dyDescent="0.3">
      <c r="A84" s="1" t="s">
        <v>16</v>
      </c>
      <c r="B84" s="1" t="s">
        <v>159</v>
      </c>
      <c r="C84" s="1" t="s">
        <v>37</v>
      </c>
      <c r="D84" s="1" t="s">
        <v>164</v>
      </c>
      <c r="E84" s="1" t="s">
        <v>42</v>
      </c>
      <c r="F84" s="1">
        <v>50650</v>
      </c>
      <c r="G84" s="1" t="s">
        <v>262</v>
      </c>
      <c r="H84" s="1" t="s">
        <v>263</v>
      </c>
      <c r="I84" s="1" t="s">
        <v>40</v>
      </c>
      <c r="J84" s="1" t="s">
        <v>32</v>
      </c>
      <c r="K84" s="1" t="s">
        <v>33</v>
      </c>
      <c r="L84" s="2">
        <v>47119</v>
      </c>
      <c r="M84" s="4">
        <v>5500000</v>
      </c>
      <c r="N84" s="1" t="s">
        <v>23</v>
      </c>
      <c r="O84" s="3">
        <v>69</v>
      </c>
    </row>
    <row r="85" spans="1:15" x14ac:dyDescent="0.3">
      <c r="A85" s="1" t="s">
        <v>16</v>
      </c>
      <c r="B85" s="1" t="s">
        <v>160</v>
      </c>
      <c r="C85" s="1" t="s">
        <v>37</v>
      </c>
      <c r="D85" s="1" t="s">
        <v>164</v>
      </c>
      <c r="E85" s="1" t="s">
        <v>42</v>
      </c>
      <c r="F85" s="1">
        <v>50651</v>
      </c>
      <c r="G85" s="1" t="s">
        <v>264</v>
      </c>
      <c r="H85" s="1" t="s">
        <v>265</v>
      </c>
      <c r="I85" s="1" t="s">
        <v>40</v>
      </c>
      <c r="J85" s="1" t="s">
        <v>32</v>
      </c>
      <c r="K85" s="1" t="s">
        <v>33</v>
      </c>
      <c r="L85" s="2">
        <v>47453</v>
      </c>
      <c r="M85" s="4">
        <v>21000000</v>
      </c>
      <c r="N85" s="1" t="s">
        <v>23</v>
      </c>
      <c r="O85" s="3">
        <v>69</v>
      </c>
    </row>
    <row r="86" spans="1:15" x14ac:dyDescent="0.3">
      <c r="A86" s="1" t="s">
        <v>16</v>
      </c>
      <c r="B86" s="1" t="s">
        <v>159</v>
      </c>
      <c r="C86" s="1" t="s">
        <v>37</v>
      </c>
      <c r="D86" s="1" t="s">
        <v>164</v>
      </c>
      <c r="E86" s="1" t="s">
        <v>42</v>
      </c>
      <c r="F86" s="1">
        <v>50652</v>
      </c>
      <c r="G86" s="1" t="s">
        <v>266</v>
      </c>
      <c r="H86" s="1" t="s">
        <v>267</v>
      </c>
      <c r="I86" s="1" t="s">
        <v>40</v>
      </c>
      <c r="J86" s="1" t="s">
        <v>32</v>
      </c>
      <c r="K86" s="1" t="s">
        <v>33</v>
      </c>
      <c r="L86" s="2">
        <v>47362</v>
      </c>
      <c r="M86" s="4">
        <v>29000000</v>
      </c>
      <c r="N86" s="1" t="s">
        <v>23</v>
      </c>
      <c r="O86" s="3">
        <v>69</v>
      </c>
    </row>
    <row r="87" spans="1:15" x14ac:dyDescent="0.3">
      <c r="A87" s="1" t="s">
        <v>16</v>
      </c>
      <c r="B87" s="1" t="s">
        <v>159</v>
      </c>
      <c r="C87" s="1" t="s">
        <v>37</v>
      </c>
      <c r="D87" s="1" t="s">
        <v>164</v>
      </c>
      <c r="E87" s="1" t="s">
        <v>42</v>
      </c>
      <c r="F87" s="1">
        <v>50653</v>
      </c>
      <c r="G87" s="1" t="s">
        <v>268</v>
      </c>
      <c r="H87" s="1" t="s">
        <v>269</v>
      </c>
      <c r="I87" s="1" t="s">
        <v>40</v>
      </c>
      <c r="J87" s="1" t="s">
        <v>32</v>
      </c>
      <c r="K87" s="1" t="s">
        <v>33</v>
      </c>
      <c r="L87" s="2">
        <v>47270</v>
      </c>
      <c r="M87" s="4">
        <v>27100000</v>
      </c>
      <c r="N87" s="1" t="s">
        <v>23</v>
      </c>
      <c r="O87" s="3">
        <v>69</v>
      </c>
    </row>
    <row r="88" spans="1:15" x14ac:dyDescent="0.3">
      <c r="A88" s="1" t="s">
        <v>16</v>
      </c>
      <c r="B88" s="1" t="s">
        <v>159</v>
      </c>
      <c r="C88" s="1" t="s">
        <v>37</v>
      </c>
      <c r="D88" s="1" t="s">
        <v>164</v>
      </c>
      <c r="E88" s="1" t="s">
        <v>42</v>
      </c>
      <c r="F88" s="1">
        <v>50654</v>
      </c>
      <c r="G88" s="1" t="s">
        <v>270</v>
      </c>
      <c r="H88" s="1" t="s">
        <v>271</v>
      </c>
      <c r="I88" s="1" t="s">
        <v>40</v>
      </c>
      <c r="J88" s="1" t="s">
        <v>32</v>
      </c>
      <c r="K88" s="1" t="s">
        <v>33</v>
      </c>
      <c r="L88" s="2">
        <v>47270</v>
      </c>
      <c r="M88" s="4">
        <v>55000000</v>
      </c>
      <c r="N88" s="1" t="s">
        <v>23</v>
      </c>
      <c r="O88" s="3">
        <v>138</v>
      </c>
    </row>
    <row r="89" spans="1:15" x14ac:dyDescent="0.3">
      <c r="A89" s="1" t="s">
        <v>16</v>
      </c>
      <c r="B89" s="1" t="s">
        <v>159</v>
      </c>
      <c r="C89" s="1" t="s">
        <v>37</v>
      </c>
      <c r="D89" s="1" t="s">
        <v>164</v>
      </c>
      <c r="E89" s="1" t="s">
        <v>18</v>
      </c>
      <c r="F89" s="1">
        <v>50657</v>
      </c>
      <c r="G89" s="1" t="s">
        <v>272</v>
      </c>
      <c r="H89" s="1" t="s">
        <v>273</v>
      </c>
      <c r="I89" s="1" t="s">
        <v>85</v>
      </c>
      <c r="J89" s="1" t="s">
        <v>32</v>
      </c>
      <c r="K89" s="1" t="s">
        <v>33</v>
      </c>
      <c r="L89" s="2">
        <v>47453</v>
      </c>
      <c r="M89" s="4">
        <v>11038068</v>
      </c>
      <c r="N89" s="1" t="s">
        <v>23</v>
      </c>
      <c r="O89" s="3">
        <v>138</v>
      </c>
    </row>
    <row r="90" spans="1:15" x14ac:dyDescent="0.3">
      <c r="A90" s="1" t="s">
        <v>16</v>
      </c>
      <c r="B90" s="1" t="s">
        <v>159</v>
      </c>
      <c r="C90" s="1" t="s">
        <v>37</v>
      </c>
      <c r="D90" s="1" t="s">
        <v>164</v>
      </c>
      <c r="E90" s="1" t="s">
        <v>42</v>
      </c>
      <c r="F90" s="1">
        <v>50658</v>
      </c>
      <c r="G90" s="1" t="s">
        <v>274</v>
      </c>
      <c r="H90" s="1" t="s">
        <v>275</v>
      </c>
      <c r="I90" s="1" t="s">
        <v>85</v>
      </c>
      <c r="J90" s="1" t="s">
        <v>32</v>
      </c>
      <c r="K90" s="1" t="s">
        <v>33</v>
      </c>
      <c r="L90" s="2">
        <v>47453</v>
      </c>
      <c r="M90" s="4">
        <v>10383247</v>
      </c>
      <c r="N90" s="1" t="s">
        <v>23</v>
      </c>
      <c r="O90" s="3">
        <v>69</v>
      </c>
    </row>
    <row r="91" spans="1:15" x14ac:dyDescent="0.3">
      <c r="A91" s="1" t="s">
        <v>16</v>
      </c>
      <c r="B91" s="1" t="s">
        <v>159</v>
      </c>
      <c r="C91" s="1" t="s">
        <v>37</v>
      </c>
      <c r="D91" s="1" t="s">
        <v>164</v>
      </c>
      <c r="E91" s="1" t="s">
        <v>42</v>
      </c>
      <c r="F91" s="1">
        <v>50659</v>
      </c>
      <c r="G91" s="1" t="s">
        <v>276</v>
      </c>
      <c r="H91" s="1" t="s">
        <v>277</v>
      </c>
      <c r="I91" s="1" t="s">
        <v>278</v>
      </c>
      <c r="J91" s="1" t="s">
        <v>32</v>
      </c>
      <c r="K91" s="1" t="s">
        <v>33</v>
      </c>
      <c r="L91" s="2">
        <v>47453</v>
      </c>
      <c r="M91" s="4">
        <v>30700000</v>
      </c>
      <c r="N91" s="1" t="s">
        <v>23</v>
      </c>
      <c r="O91" s="3">
        <v>138</v>
      </c>
    </row>
    <row r="92" spans="1:15" x14ac:dyDescent="0.3">
      <c r="A92" s="1" t="s">
        <v>16</v>
      </c>
      <c r="B92" s="1" t="s">
        <v>159</v>
      </c>
      <c r="C92" s="1" t="s">
        <v>37</v>
      </c>
      <c r="D92" s="1" t="s">
        <v>164</v>
      </c>
      <c r="E92" s="1" t="s">
        <v>18</v>
      </c>
      <c r="F92" s="1">
        <v>50660</v>
      </c>
      <c r="G92" s="1" t="s">
        <v>279</v>
      </c>
      <c r="H92" s="1" t="s">
        <v>280</v>
      </c>
      <c r="I92" s="1" t="s">
        <v>278</v>
      </c>
      <c r="J92" s="1" t="s">
        <v>32</v>
      </c>
      <c r="K92" s="1" t="s">
        <v>33</v>
      </c>
      <c r="L92" s="2">
        <v>47453</v>
      </c>
      <c r="M92" s="4">
        <v>8231371</v>
      </c>
      <c r="N92" s="1" t="s">
        <v>23</v>
      </c>
      <c r="O92" s="3">
        <v>138</v>
      </c>
    </row>
    <row r="93" spans="1:15" x14ac:dyDescent="0.3">
      <c r="A93" s="1" t="s">
        <v>16</v>
      </c>
      <c r="B93" s="1" t="s">
        <v>159</v>
      </c>
      <c r="C93" s="1" t="s">
        <v>37</v>
      </c>
      <c r="D93" s="1" t="s">
        <v>164</v>
      </c>
      <c r="E93" s="1" t="s">
        <v>42</v>
      </c>
      <c r="F93" s="1">
        <v>50661</v>
      </c>
      <c r="G93" s="1" t="s">
        <v>281</v>
      </c>
      <c r="H93" s="1" t="s">
        <v>282</v>
      </c>
      <c r="I93" s="1" t="s">
        <v>283</v>
      </c>
      <c r="J93" s="1" t="s">
        <v>32</v>
      </c>
      <c r="K93" s="1" t="s">
        <v>33</v>
      </c>
      <c r="L93" s="2">
        <v>47453</v>
      </c>
      <c r="M93" s="4">
        <v>21525272</v>
      </c>
      <c r="N93" s="1" t="s">
        <v>23</v>
      </c>
      <c r="O93" s="3">
        <v>138</v>
      </c>
    </row>
    <row r="94" spans="1:15" x14ac:dyDescent="0.3">
      <c r="A94" s="1" t="s">
        <v>16</v>
      </c>
      <c r="B94" s="1" t="s">
        <v>159</v>
      </c>
      <c r="C94" s="1" t="s">
        <v>37</v>
      </c>
      <c r="D94" s="1" t="s">
        <v>164</v>
      </c>
      <c r="E94" s="1" t="s">
        <v>18</v>
      </c>
      <c r="F94" s="1">
        <v>50662</v>
      </c>
      <c r="G94" s="1" t="s">
        <v>284</v>
      </c>
      <c r="H94" s="1" t="s">
        <v>285</v>
      </c>
      <c r="I94" s="1" t="s">
        <v>85</v>
      </c>
      <c r="J94" s="1" t="s">
        <v>32</v>
      </c>
      <c r="K94" s="1" t="s">
        <v>33</v>
      </c>
      <c r="L94" s="2">
        <v>47453</v>
      </c>
      <c r="M94" s="4">
        <v>7953616</v>
      </c>
      <c r="N94" s="1" t="s">
        <v>23</v>
      </c>
      <c r="O94" s="3">
        <v>345</v>
      </c>
    </row>
    <row r="95" spans="1:15" x14ac:dyDescent="0.3">
      <c r="A95" s="1" t="s">
        <v>16</v>
      </c>
      <c r="B95" s="1" t="s">
        <v>159</v>
      </c>
      <c r="C95" s="1" t="s">
        <v>37</v>
      </c>
      <c r="D95" s="1" t="s">
        <v>164</v>
      </c>
      <c r="E95" s="1" t="s">
        <v>42</v>
      </c>
      <c r="F95" s="1">
        <v>50663</v>
      </c>
      <c r="G95" s="1" t="s">
        <v>286</v>
      </c>
      <c r="H95" s="1" t="s">
        <v>287</v>
      </c>
      <c r="I95" s="1" t="s">
        <v>288</v>
      </c>
      <c r="J95" s="1" t="s">
        <v>32</v>
      </c>
      <c r="K95" s="1" t="s">
        <v>33</v>
      </c>
      <c r="L95" s="2">
        <v>47453</v>
      </c>
      <c r="M95" s="4">
        <v>5621959</v>
      </c>
      <c r="N95" s="1" t="s">
        <v>23</v>
      </c>
      <c r="O95" s="3">
        <v>69</v>
      </c>
    </row>
    <row r="96" spans="1:15" x14ac:dyDescent="0.3">
      <c r="A96" s="1" t="s">
        <v>16</v>
      </c>
      <c r="B96" s="1" t="s">
        <v>159</v>
      </c>
      <c r="C96" s="1" t="s">
        <v>37</v>
      </c>
      <c r="D96" s="1" t="s">
        <v>164</v>
      </c>
      <c r="E96" s="1" t="s">
        <v>42</v>
      </c>
      <c r="F96" s="1">
        <v>50664</v>
      </c>
      <c r="G96" s="1" t="s">
        <v>289</v>
      </c>
      <c r="H96" s="1" t="s">
        <v>290</v>
      </c>
      <c r="I96" s="1" t="s">
        <v>288</v>
      </c>
      <c r="J96" s="1" t="s">
        <v>32</v>
      </c>
      <c r="K96" s="1" t="s">
        <v>33</v>
      </c>
      <c r="L96" s="2">
        <v>47453</v>
      </c>
      <c r="M96" s="4">
        <v>5409285</v>
      </c>
      <c r="N96" s="1" t="s">
        <v>23</v>
      </c>
      <c r="O96" s="3">
        <v>69</v>
      </c>
    </row>
    <row r="97" spans="1:15" x14ac:dyDescent="0.3">
      <c r="A97" s="1" t="s">
        <v>16</v>
      </c>
      <c r="B97" s="1" t="s">
        <v>159</v>
      </c>
      <c r="C97" s="1" t="s">
        <v>37</v>
      </c>
      <c r="D97" s="1" t="s">
        <v>164</v>
      </c>
      <c r="E97" s="1" t="s">
        <v>42</v>
      </c>
      <c r="F97" s="1">
        <v>50665</v>
      </c>
      <c r="G97" s="1" t="s">
        <v>291</v>
      </c>
      <c r="H97" s="1" t="s">
        <v>292</v>
      </c>
      <c r="I97" s="1" t="s">
        <v>288</v>
      </c>
      <c r="J97" s="1" t="s">
        <v>32</v>
      </c>
      <c r="K97" s="1" t="s">
        <v>33</v>
      </c>
      <c r="L97" s="2">
        <v>47453</v>
      </c>
      <c r="M97" s="4">
        <v>4984956</v>
      </c>
      <c r="N97" s="1" t="s">
        <v>23</v>
      </c>
      <c r="O97" s="3">
        <v>138</v>
      </c>
    </row>
    <row r="98" spans="1:15" x14ac:dyDescent="0.3">
      <c r="A98" s="1" t="s">
        <v>16</v>
      </c>
      <c r="B98" s="1" t="s">
        <v>159</v>
      </c>
      <c r="C98" s="1" t="s">
        <v>37</v>
      </c>
      <c r="D98" s="1" t="s">
        <v>164</v>
      </c>
      <c r="E98" s="1" t="s">
        <v>42</v>
      </c>
      <c r="F98" s="1">
        <v>50666</v>
      </c>
      <c r="G98" s="1" t="s">
        <v>293</v>
      </c>
      <c r="H98" s="1" t="s">
        <v>294</v>
      </c>
      <c r="I98" s="1" t="s">
        <v>288</v>
      </c>
      <c r="J98" s="1" t="s">
        <v>32</v>
      </c>
      <c r="K98" s="1" t="s">
        <v>33</v>
      </c>
      <c r="L98" s="2">
        <v>47453</v>
      </c>
      <c r="M98" s="4">
        <v>4791444</v>
      </c>
      <c r="N98" s="1" t="s">
        <v>23</v>
      </c>
      <c r="O98" s="3">
        <v>138</v>
      </c>
    </row>
    <row r="99" spans="1:15" x14ac:dyDescent="0.3">
      <c r="A99" s="1" t="s">
        <v>16</v>
      </c>
      <c r="B99" s="1" t="s">
        <v>159</v>
      </c>
      <c r="C99" s="1" t="s">
        <v>37</v>
      </c>
      <c r="D99" s="1" t="s">
        <v>164</v>
      </c>
      <c r="E99" s="1" t="s">
        <v>18</v>
      </c>
      <c r="F99" s="1">
        <v>50668</v>
      </c>
      <c r="G99" s="1" t="s">
        <v>295</v>
      </c>
      <c r="H99" s="1" t="s">
        <v>296</v>
      </c>
      <c r="I99" s="1" t="s">
        <v>297</v>
      </c>
      <c r="J99" s="1" t="s">
        <v>32</v>
      </c>
      <c r="K99" s="1" t="s">
        <v>33</v>
      </c>
      <c r="L99" s="2">
        <v>47453</v>
      </c>
      <c r="M99" s="4">
        <v>5000000</v>
      </c>
      <c r="N99" s="1" t="s">
        <v>23</v>
      </c>
      <c r="O99" s="3">
        <v>138</v>
      </c>
    </row>
    <row r="100" spans="1:15" x14ac:dyDescent="0.3">
      <c r="A100" s="1" t="s">
        <v>16</v>
      </c>
      <c r="B100" s="1" t="s">
        <v>159</v>
      </c>
      <c r="C100" s="1" t="s">
        <v>37</v>
      </c>
      <c r="D100" s="1" t="s">
        <v>164</v>
      </c>
      <c r="E100" s="1" t="s">
        <v>42</v>
      </c>
      <c r="F100" s="1">
        <v>50669</v>
      </c>
      <c r="G100" s="1" t="s">
        <v>298</v>
      </c>
      <c r="H100" s="1" t="s">
        <v>299</v>
      </c>
      <c r="I100" s="1" t="s">
        <v>85</v>
      </c>
      <c r="J100" s="1" t="s">
        <v>32</v>
      </c>
      <c r="K100" s="1" t="s">
        <v>33</v>
      </c>
      <c r="L100" s="2">
        <v>47453</v>
      </c>
      <c r="M100" s="4">
        <v>6376769</v>
      </c>
      <c r="N100" s="1" t="s">
        <v>23</v>
      </c>
      <c r="O100" s="3">
        <v>69</v>
      </c>
    </row>
    <row r="101" spans="1:15" x14ac:dyDescent="0.3">
      <c r="A101" s="1" t="s">
        <v>16</v>
      </c>
      <c r="B101" s="1" t="s">
        <v>159</v>
      </c>
      <c r="C101" s="1" t="s">
        <v>37</v>
      </c>
      <c r="D101" s="1" t="s">
        <v>164</v>
      </c>
      <c r="E101" s="1" t="s">
        <v>42</v>
      </c>
      <c r="F101" s="1">
        <v>50672</v>
      </c>
      <c r="G101" s="1" t="s">
        <v>300</v>
      </c>
      <c r="H101" s="1" t="s">
        <v>301</v>
      </c>
      <c r="I101" s="1" t="s">
        <v>46</v>
      </c>
      <c r="J101" s="1" t="s">
        <v>32</v>
      </c>
      <c r="K101" s="1" t="s">
        <v>46</v>
      </c>
      <c r="L101" s="2">
        <v>47116</v>
      </c>
      <c r="M101" s="4">
        <v>5600000</v>
      </c>
      <c r="N101" s="1" t="s">
        <v>23</v>
      </c>
      <c r="O101" s="3">
        <v>138</v>
      </c>
    </row>
    <row r="102" spans="1:15" x14ac:dyDescent="0.3">
      <c r="A102" s="1" t="s">
        <v>16</v>
      </c>
      <c r="B102" s="1" t="s">
        <v>159</v>
      </c>
      <c r="C102" s="1" t="s">
        <v>55</v>
      </c>
      <c r="D102" s="1" t="s">
        <v>164</v>
      </c>
      <c r="E102" s="1" t="s">
        <v>56</v>
      </c>
      <c r="F102" s="1">
        <v>50674</v>
      </c>
      <c r="G102" s="1" t="s">
        <v>302</v>
      </c>
      <c r="H102" s="1" t="s">
        <v>303</v>
      </c>
      <c r="I102" s="1" t="s">
        <v>304</v>
      </c>
      <c r="J102" s="1" t="s">
        <v>32</v>
      </c>
      <c r="K102" s="1" t="s">
        <v>46</v>
      </c>
      <c r="L102" s="2">
        <v>46752</v>
      </c>
      <c r="M102" s="4">
        <v>500000</v>
      </c>
      <c r="N102" s="1" t="s">
        <v>23</v>
      </c>
      <c r="O102" s="3">
        <v>115</v>
      </c>
    </row>
    <row r="103" spans="1:15" x14ac:dyDescent="0.3">
      <c r="A103" s="1" t="s">
        <v>16</v>
      </c>
      <c r="B103" s="1" t="s">
        <v>159</v>
      </c>
      <c r="C103" s="1" t="s">
        <v>37</v>
      </c>
      <c r="D103" s="1" t="s">
        <v>164</v>
      </c>
      <c r="E103" s="1" t="s">
        <v>18</v>
      </c>
      <c r="F103" s="1">
        <v>50676</v>
      </c>
      <c r="G103" s="1" t="s">
        <v>305</v>
      </c>
      <c r="H103" s="1" t="s">
        <v>306</v>
      </c>
      <c r="I103" s="1" t="s">
        <v>85</v>
      </c>
      <c r="J103" s="1" t="s">
        <v>32</v>
      </c>
      <c r="K103" s="1" t="s">
        <v>33</v>
      </c>
      <c r="L103" s="2">
        <v>47453</v>
      </c>
      <c r="M103" s="4">
        <v>3313578</v>
      </c>
      <c r="N103" s="1" t="s">
        <v>23</v>
      </c>
      <c r="O103" s="3">
        <v>138</v>
      </c>
    </row>
    <row r="104" spans="1:15" x14ac:dyDescent="0.3">
      <c r="A104" s="1" t="s">
        <v>16</v>
      </c>
      <c r="B104" s="1" t="s">
        <v>159</v>
      </c>
      <c r="C104" s="1" t="s">
        <v>37</v>
      </c>
      <c r="D104" s="1" t="s">
        <v>164</v>
      </c>
      <c r="E104" s="1" t="s">
        <v>18</v>
      </c>
      <c r="F104" s="1">
        <v>50677</v>
      </c>
      <c r="G104" s="1" t="s">
        <v>307</v>
      </c>
      <c r="H104" s="1" t="s">
        <v>308</v>
      </c>
      <c r="I104" s="1" t="s">
        <v>309</v>
      </c>
      <c r="J104" s="1" t="s">
        <v>32</v>
      </c>
      <c r="K104" s="1" t="s">
        <v>33</v>
      </c>
      <c r="L104" s="2">
        <v>47818</v>
      </c>
      <c r="M104" s="4">
        <v>110000000</v>
      </c>
      <c r="N104" s="1" t="s">
        <v>23</v>
      </c>
      <c r="O104" s="3">
        <v>69</v>
      </c>
    </row>
    <row r="105" spans="1:15" x14ac:dyDescent="0.3">
      <c r="A105" s="1" t="s">
        <v>16</v>
      </c>
      <c r="B105" s="1" t="s">
        <v>159</v>
      </c>
      <c r="C105" s="1" t="s">
        <v>37</v>
      </c>
      <c r="D105" s="1" t="s">
        <v>164</v>
      </c>
      <c r="E105" s="1" t="s">
        <v>42</v>
      </c>
      <c r="F105" s="1">
        <v>50681</v>
      </c>
      <c r="G105" s="1" t="s">
        <v>310</v>
      </c>
      <c r="H105" s="1" t="s">
        <v>311</v>
      </c>
      <c r="I105" s="1" t="s">
        <v>312</v>
      </c>
      <c r="J105" s="1" t="s">
        <v>32</v>
      </c>
      <c r="K105" s="1" t="s">
        <v>33</v>
      </c>
      <c r="L105" s="2">
        <v>48183</v>
      </c>
      <c r="M105" s="4">
        <v>56000000</v>
      </c>
      <c r="N105" s="1" t="s">
        <v>23</v>
      </c>
      <c r="O105" s="3">
        <v>138</v>
      </c>
    </row>
    <row r="106" spans="1:15" x14ac:dyDescent="0.3">
      <c r="A106" s="1" t="s">
        <v>16</v>
      </c>
      <c r="B106" s="1" t="s">
        <v>159</v>
      </c>
      <c r="C106" s="1" t="s">
        <v>37</v>
      </c>
      <c r="D106" s="1" t="s">
        <v>164</v>
      </c>
      <c r="E106" s="1" t="s">
        <v>42</v>
      </c>
      <c r="F106" s="1">
        <v>50682</v>
      </c>
      <c r="G106" s="1" t="s">
        <v>313</v>
      </c>
      <c r="H106" s="1" t="s">
        <v>314</v>
      </c>
      <c r="I106" s="1" t="s">
        <v>315</v>
      </c>
      <c r="J106" s="1" t="s">
        <v>32</v>
      </c>
      <c r="K106" s="1" t="s">
        <v>33</v>
      </c>
      <c r="L106" s="2">
        <v>48000</v>
      </c>
      <c r="M106" s="4">
        <v>87000000</v>
      </c>
      <c r="N106" s="1" t="s">
        <v>23</v>
      </c>
      <c r="O106" s="3">
        <v>138</v>
      </c>
    </row>
    <row r="107" spans="1:15" x14ac:dyDescent="0.3">
      <c r="A107" s="1" t="s">
        <v>16</v>
      </c>
      <c r="B107" s="1" t="s">
        <v>159</v>
      </c>
      <c r="C107" s="1" t="s">
        <v>37</v>
      </c>
      <c r="D107" s="1" t="s">
        <v>164</v>
      </c>
      <c r="E107" s="1" t="s">
        <v>18</v>
      </c>
      <c r="F107" s="1">
        <v>50684</v>
      </c>
      <c r="G107" s="1" t="s">
        <v>316</v>
      </c>
      <c r="H107" s="1" t="s">
        <v>317</v>
      </c>
      <c r="I107" s="1" t="s">
        <v>318</v>
      </c>
      <c r="J107" s="1" t="s">
        <v>32</v>
      </c>
      <c r="K107" s="1" t="s">
        <v>33</v>
      </c>
      <c r="L107" s="2">
        <v>47848</v>
      </c>
      <c r="M107" s="4">
        <v>5700000</v>
      </c>
      <c r="N107" s="1" t="s">
        <v>23</v>
      </c>
      <c r="O107" s="3">
        <v>69</v>
      </c>
    </row>
    <row r="108" spans="1:15" x14ac:dyDescent="0.3">
      <c r="A108" s="1" t="s">
        <v>16</v>
      </c>
      <c r="B108" s="1" t="s">
        <v>160</v>
      </c>
      <c r="C108" s="1" t="s">
        <v>37</v>
      </c>
      <c r="D108" s="1" t="s">
        <v>164</v>
      </c>
      <c r="E108" s="1" t="s">
        <v>42</v>
      </c>
      <c r="F108" s="1">
        <v>50688</v>
      </c>
      <c r="G108" s="1" t="s">
        <v>319</v>
      </c>
      <c r="H108" s="1" t="s">
        <v>320</v>
      </c>
      <c r="I108" s="1" t="s">
        <v>312</v>
      </c>
      <c r="J108" s="1" t="s">
        <v>32</v>
      </c>
      <c r="K108" s="1" t="s">
        <v>33</v>
      </c>
      <c r="L108" s="2">
        <v>47848</v>
      </c>
      <c r="M108" s="4">
        <v>24000000</v>
      </c>
      <c r="N108" s="1" t="s">
        <v>23</v>
      </c>
      <c r="O108" s="3">
        <v>69</v>
      </c>
    </row>
    <row r="109" spans="1:15" x14ac:dyDescent="0.3">
      <c r="A109" s="1" t="s">
        <v>16</v>
      </c>
      <c r="B109" s="1" t="s">
        <v>160</v>
      </c>
      <c r="C109" s="1" t="s">
        <v>37</v>
      </c>
      <c r="D109" s="1" t="s">
        <v>164</v>
      </c>
      <c r="E109" s="1" t="s">
        <v>42</v>
      </c>
      <c r="F109" s="1">
        <v>50689</v>
      </c>
      <c r="G109" s="1" t="s">
        <v>321</v>
      </c>
      <c r="H109" s="1" t="s">
        <v>322</v>
      </c>
      <c r="I109" s="1" t="s">
        <v>315</v>
      </c>
      <c r="J109" s="1" t="s">
        <v>32</v>
      </c>
      <c r="K109" s="1" t="s">
        <v>33</v>
      </c>
      <c r="L109" s="2">
        <v>47543</v>
      </c>
      <c r="M109" s="4">
        <v>32200000</v>
      </c>
      <c r="N109" s="1" t="s">
        <v>23</v>
      </c>
      <c r="O109" s="3">
        <v>69</v>
      </c>
    </row>
    <row r="110" spans="1:15" x14ac:dyDescent="0.3">
      <c r="A110" s="1" t="s">
        <v>16</v>
      </c>
      <c r="B110" s="1" t="s">
        <v>160</v>
      </c>
      <c r="C110" s="1" t="s">
        <v>37</v>
      </c>
      <c r="D110" s="1" t="s">
        <v>164</v>
      </c>
      <c r="E110" s="1" t="s">
        <v>42</v>
      </c>
      <c r="F110" s="1">
        <v>50690</v>
      </c>
      <c r="G110" s="1" t="s">
        <v>323</v>
      </c>
      <c r="H110" s="1" t="s">
        <v>324</v>
      </c>
      <c r="I110" s="1" t="s">
        <v>325</v>
      </c>
      <c r="J110" s="1" t="s">
        <v>32</v>
      </c>
      <c r="K110" s="1" t="s">
        <v>33</v>
      </c>
      <c r="L110" s="2">
        <v>47270</v>
      </c>
      <c r="M110" s="4">
        <v>39700000</v>
      </c>
      <c r="N110" s="1" t="s">
        <v>23</v>
      </c>
      <c r="O110" s="3">
        <v>138</v>
      </c>
    </row>
    <row r="111" spans="1:15" x14ac:dyDescent="0.3">
      <c r="A111" s="1" t="s">
        <v>16</v>
      </c>
      <c r="B111" s="1" t="s">
        <v>159</v>
      </c>
      <c r="C111" s="1" t="s">
        <v>37</v>
      </c>
      <c r="D111" s="1" t="s">
        <v>164</v>
      </c>
      <c r="E111" s="1" t="s">
        <v>42</v>
      </c>
      <c r="F111" s="1">
        <v>50692</v>
      </c>
      <c r="G111" s="1" t="s">
        <v>326</v>
      </c>
      <c r="H111" s="1" t="s">
        <v>327</v>
      </c>
      <c r="I111" s="1" t="s">
        <v>328</v>
      </c>
      <c r="J111" s="1" t="s">
        <v>32</v>
      </c>
      <c r="K111" s="1" t="s">
        <v>46</v>
      </c>
      <c r="L111" s="2">
        <v>46538</v>
      </c>
      <c r="M111" s="4">
        <v>5000000</v>
      </c>
      <c r="N111" s="1" t="s">
        <v>23</v>
      </c>
      <c r="O111" s="3">
        <v>69</v>
      </c>
    </row>
    <row r="112" spans="1:15" x14ac:dyDescent="0.3">
      <c r="A112" s="1" t="s">
        <v>16</v>
      </c>
      <c r="B112" s="1" t="s">
        <v>159</v>
      </c>
      <c r="C112" s="1" t="s">
        <v>329</v>
      </c>
      <c r="D112" s="1" t="s">
        <v>161</v>
      </c>
      <c r="E112" s="1" t="s">
        <v>28</v>
      </c>
      <c r="F112" s="1">
        <v>50700</v>
      </c>
      <c r="G112" s="1" t="s">
        <v>330</v>
      </c>
      <c r="H112" s="1" t="s">
        <v>331</v>
      </c>
      <c r="I112" s="1" t="s">
        <v>332</v>
      </c>
      <c r="J112" s="1" t="s">
        <v>32</v>
      </c>
      <c r="K112" s="1" t="s">
        <v>205</v>
      </c>
      <c r="L112" s="2">
        <v>46692</v>
      </c>
      <c r="M112" s="4">
        <v>68800000</v>
      </c>
      <c r="N112" s="1" t="s">
        <v>50</v>
      </c>
      <c r="O112" s="3">
        <v>345</v>
      </c>
    </row>
    <row r="113" spans="1:15" x14ac:dyDescent="0.3">
      <c r="A113" s="1" t="s">
        <v>16</v>
      </c>
      <c r="B113" s="1" t="s">
        <v>160</v>
      </c>
      <c r="C113" s="1" t="s">
        <v>37</v>
      </c>
      <c r="D113" s="1" t="s">
        <v>164</v>
      </c>
      <c r="E113" s="1" t="s">
        <v>42</v>
      </c>
      <c r="F113" s="1">
        <v>50703</v>
      </c>
      <c r="G113" s="1" t="s">
        <v>333</v>
      </c>
      <c r="H113" s="1" t="s">
        <v>334</v>
      </c>
      <c r="I113" s="1" t="s">
        <v>40</v>
      </c>
      <c r="J113" s="1" t="s">
        <v>32</v>
      </c>
      <c r="K113" s="1" t="s">
        <v>33</v>
      </c>
      <c r="L113" s="2">
        <v>48183</v>
      </c>
      <c r="M113" s="4">
        <v>7100000</v>
      </c>
      <c r="N113" s="1" t="s">
        <v>23</v>
      </c>
      <c r="O113" s="3">
        <v>69</v>
      </c>
    </row>
    <row r="114" spans="1:15" x14ac:dyDescent="0.3">
      <c r="A114" s="1" t="s">
        <v>16</v>
      </c>
      <c r="B114" s="1" t="s">
        <v>160</v>
      </c>
      <c r="C114" s="1" t="s">
        <v>37</v>
      </c>
      <c r="D114" s="1" t="s">
        <v>164</v>
      </c>
      <c r="E114" s="1" t="s">
        <v>42</v>
      </c>
      <c r="F114" s="1">
        <v>50704</v>
      </c>
      <c r="G114" s="1" t="s">
        <v>335</v>
      </c>
      <c r="H114" s="1" t="s">
        <v>336</v>
      </c>
      <c r="I114" s="1" t="s">
        <v>40</v>
      </c>
      <c r="J114" s="1" t="s">
        <v>32</v>
      </c>
      <c r="K114" s="1" t="s">
        <v>33</v>
      </c>
      <c r="L114" s="2">
        <v>50375</v>
      </c>
      <c r="M114" s="4">
        <v>31000000</v>
      </c>
      <c r="N114" s="1" t="s">
        <v>23</v>
      </c>
      <c r="O114" s="3">
        <v>138</v>
      </c>
    </row>
    <row r="115" spans="1:15" x14ac:dyDescent="0.3">
      <c r="A115" s="1" t="s">
        <v>16</v>
      </c>
      <c r="B115" s="1" t="s">
        <v>160</v>
      </c>
      <c r="C115" s="1" t="s">
        <v>37</v>
      </c>
      <c r="D115" s="1" t="s">
        <v>164</v>
      </c>
      <c r="E115" s="1" t="s">
        <v>42</v>
      </c>
      <c r="F115" s="1">
        <v>50705</v>
      </c>
      <c r="G115" s="1" t="s">
        <v>337</v>
      </c>
      <c r="H115" s="1" t="s">
        <v>338</v>
      </c>
      <c r="I115" s="1" t="s">
        <v>40</v>
      </c>
      <c r="J115" s="1" t="s">
        <v>32</v>
      </c>
      <c r="K115" s="1" t="s">
        <v>33</v>
      </c>
      <c r="L115" s="2">
        <v>50740</v>
      </c>
      <c r="M115" s="4">
        <v>4300000</v>
      </c>
      <c r="N115" s="1" t="s">
        <v>23</v>
      </c>
      <c r="O115" s="3">
        <v>138</v>
      </c>
    </row>
    <row r="116" spans="1:15" x14ac:dyDescent="0.3">
      <c r="A116" s="1" t="s">
        <v>16</v>
      </c>
      <c r="B116" s="1" t="s">
        <v>160</v>
      </c>
      <c r="C116" s="1" t="s">
        <v>37</v>
      </c>
      <c r="D116" s="1" t="s">
        <v>164</v>
      </c>
      <c r="E116" s="1" t="s">
        <v>42</v>
      </c>
      <c r="F116" s="1">
        <v>50706</v>
      </c>
      <c r="G116" s="1" t="s">
        <v>339</v>
      </c>
      <c r="H116" s="1" t="s">
        <v>340</v>
      </c>
      <c r="I116" s="1" t="s">
        <v>40</v>
      </c>
      <c r="J116" s="1" t="s">
        <v>32</v>
      </c>
      <c r="K116" s="1" t="s">
        <v>33</v>
      </c>
      <c r="L116" s="2">
        <v>51105</v>
      </c>
      <c r="M116" s="4">
        <v>9000000</v>
      </c>
      <c r="N116" s="1" t="s">
        <v>23</v>
      </c>
      <c r="O116" s="3">
        <v>138</v>
      </c>
    </row>
    <row r="117" spans="1:15" x14ac:dyDescent="0.3">
      <c r="A117" s="1" t="s">
        <v>16</v>
      </c>
      <c r="B117" s="1" t="s">
        <v>160</v>
      </c>
      <c r="C117" s="1" t="s">
        <v>37</v>
      </c>
      <c r="D117" s="1" t="s">
        <v>164</v>
      </c>
      <c r="E117" s="1" t="s">
        <v>42</v>
      </c>
      <c r="F117" s="1">
        <v>50707</v>
      </c>
      <c r="G117" s="1" t="s">
        <v>341</v>
      </c>
      <c r="H117" s="1" t="s">
        <v>342</v>
      </c>
      <c r="I117" s="1" t="s">
        <v>40</v>
      </c>
      <c r="J117" s="1" t="s">
        <v>32</v>
      </c>
      <c r="K117" s="1" t="s">
        <v>33</v>
      </c>
      <c r="L117" s="2">
        <v>51471</v>
      </c>
      <c r="M117" s="4">
        <v>8000000</v>
      </c>
      <c r="N117" s="1" t="s">
        <v>23</v>
      </c>
      <c r="O117" s="3">
        <v>138</v>
      </c>
    </row>
    <row r="118" spans="1:15" x14ac:dyDescent="0.3">
      <c r="A118" s="1" t="s">
        <v>16</v>
      </c>
      <c r="B118" s="1" t="s">
        <v>160</v>
      </c>
      <c r="C118" s="1" t="s">
        <v>37</v>
      </c>
      <c r="D118" s="1" t="s">
        <v>164</v>
      </c>
      <c r="E118" s="1" t="s">
        <v>42</v>
      </c>
      <c r="F118" s="1">
        <v>50708</v>
      </c>
      <c r="G118" s="1" t="s">
        <v>343</v>
      </c>
      <c r="H118" s="1" t="s">
        <v>344</v>
      </c>
      <c r="I118" s="1" t="s">
        <v>40</v>
      </c>
      <c r="J118" s="1" t="s">
        <v>32</v>
      </c>
      <c r="K118" s="1" t="s">
        <v>33</v>
      </c>
      <c r="L118" s="2">
        <v>51471</v>
      </c>
      <c r="M118" s="4">
        <v>15000000</v>
      </c>
      <c r="N118" s="1" t="s">
        <v>23</v>
      </c>
      <c r="O118" s="3">
        <v>138</v>
      </c>
    </row>
    <row r="119" spans="1:15" x14ac:dyDescent="0.3">
      <c r="A119" s="1" t="s">
        <v>16</v>
      </c>
      <c r="B119" s="1" t="s">
        <v>160</v>
      </c>
      <c r="C119" s="1" t="s">
        <v>37</v>
      </c>
      <c r="D119" s="1" t="s">
        <v>164</v>
      </c>
      <c r="E119" s="1" t="s">
        <v>42</v>
      </c>
      <c r="F119" s="1">
        <v>50709</v>
      </c>
      <c r="G119" s="1" t="s">
        <v>345</v>
      </c>
      <c r="H119" s="1" t="s">
        <v>346</v>
      </c>
      <c r="I119" s="1" t="s">
        <v>40</v>
      </c>
      <c r="J119" s="1" t="s">
        <v>32</v>
      </c>
      <c r="K119" s="1" t="s">
        <v>33</v>
      </c>
      <c r="L119" s="2">
        <v>47818</v>
      </c>
      <c r="M119" s="4">
        <v>11500000</v>
      </c>
      <c r="N119" s="1" t="s">
        <v>23</v>
      </c>
      <c r="O119" s="3">
        <v>69</v>
      </c>
    </row>
    <row r="120" spans="1:15" x14ac:dyDescent="0.3">
      <c r="A120" s="1" t="s">
        <v>16</v>
      </c>
      <c r="B120" s="1" t="s">
        <v>159</v>
      </c>
      <c r="C120" s="1" t="s">
        <v>37</v>
      </c>
      <c r="D120" s="1" t="s">
        <v>164</v>
      </c>
      <c r="E120" s="1" t="s">
        <v>18</v>
      </c>
      <c r="F120" s="1">
        <v>50712</v>
      </c>
      <c r="G120" s="1" t="s">
        <v>347</v>
      </c>
      <c r="H120" s="1" t="s">
        <v>348</v>
      </c>
      <c r="I120" s="1" t="s">
        <v>40</v>
      </c>
      <c r="J120" s="1" t="s">
        <v>32</v>
      </c>
      <c r="K120" s="1" t="s">
        <v>33</v>
      </c>
      <c r="L120" s="2">
        <v>46905</v>
      </c>
      <c r="M120" s="4">
        <v>18400000</v>
      </c>
      <c r="N120" s="1" t="s">
        <v>23</v>
      </c>
      <c r="O120" s="3">
        <v>69</v>
      </c>
    </row>
    <row r="121" spans="1:15" x14ac:dyDescent="0.3">
      <c r="A121" s="1" t="s">
        <v>16</v>
      </c>
      <c r="B121" s="1" t="s">
        <v>159</v>
      </c>
      <c r="C121" s="1" t="s">
        <v>349</v>
      </c>
      <c r="D121" s="1" t="s">
        <v>163</v>
      </c>
      <c r="E121" s="1" t="s">
        <v>350</v>
      </c>
      <c r="F121" s="1">
        <v>50713</v>
      </c>
      <c r="G121" s="1" t="s">
        <v>351</v>
      </c>
      <c r="H121" s="1" t="s">
        <v>352</v>
      </c>
      <c r="I121" s="1" t="s">
        <v>353</v>
      </c>
      <c r="J121" s="1" t="s">
        <v>22</v>
      </c>
      <c r="L121" s="2">
        <v>47118</v>
      </c>
      <c r="M121" s="4">
        <v>270500000</v>
      </c>
      <c r="N121" s="1" t="s">
        <v>50</v>
      </c>
      <c r="O121" s="3">
        <v>500</v>
      </c>
    </row>
    <row r="122" spans="1:15" x14ac:dyDescent="0.3">
      <c r="A122" s="1" t="s">
        <v>16</v>
      </c>
      <c r="B122" s="1" t="s">
        <v>159</v>
      </c>
      <c r="C122" s="1" t="s">
        <v>37</v>
      </c>
      <c r="D122" s="1" t="s">
        <v>164</v>
      </c>
      <c r="E122" s="1" t="s">
        <v>42</v>
      </c>
      <c r="F122" s="1">
        <v>50714</v>
      </c>
      <c r="G122" s="1" t="s">
        <v>354</v>
      </c>
      <c r="H122" s="1" t="s">
        <v>355</v>
      </c>
      <c r="I122" s="1" t="s">
        <v>356</v>
      </c>
      <c r="J122" s="1" t="s">
        <v>32</v>
      </c>
      <c r="K122" s="1" t="s">
        <v>205</v>
      </c>
      <c r="L122" s="2">
        <v>47115</v>
      </c>
      <c r="M122" s="4">
        <v>9900000</v>
      </c>
      <c r="N122" s="1" t="s">
        <v>23</v>
      </c>
      <c r="O122" s="3">
        <v>69</v>
      </c>
    </row>
    <row r="123" spans="1:15" x14ac:dyDescent="0.3">
      <c r="A123" s="1" t="s">
        <v>16</v>
      </c>
      <c r="B123" s="1" t="s">
        <v>160</v>
      </c>
      <c r="C123" s="1" t="s">
        <v>357</v>
      </c>
      <c r="D123" s="1" t="s">
        <v>163</v>
      </c>
      <c r="E123" s="1" t="s">
        <v>358</v>
      </c>
      <c r="F123" s="1">
        <v>50715</v>
      </c>
      <c r="G123" s="1" t="s">
        <v>359</v>
      </c>
      <c r="H123" s="1" t="s">
        <v>360</v>
      </c>
      <c r="I123" s="1" t="s">
        <v>361</v>
      </c>
      <c r="J123" s="1" t="s">
        <v>32</v>
      </c>
      <c r="K123" s="1" t="s">
        <v>205</v>
      </c>
      <c r="L123" s="2">
        <v>49310</v>
      </c>
      <c r="M123" s="4">
        <v>263300000</v>
      </c>
      <c r="N123" s="1" t="s">
        <v>23</v>
      </c>
      <c r="O123" s="3">
        <v>345</v>
      </c>
    </row>
    <row r="124" spans="1:15" x14ac:dyDescent="0.3">
      <c r="A124" s="1" t="s">
        <v>16</v>
      </c>
      <c r="B124" s="1" t="s">
        <v>159</v>
      </c>
      <c r="C124" s="1" t="s">
        <v>37</v>
      </c>
      <c r="D124" s="1" t="s">
        <v>164</v>
      </c>
      <c r="E124" s="1" t="s">
        <v>42</v>
      </c>
      <c r="F124" s="1">
        <v>50716</v>
      </c>
      <c r="G124" s="1" t="s">
        <v>362</v>
      </c>
      <c r="H124" s="1" t="s">
        <v>363</v>
      </c>
      <c r="I124" s="1" t="s">
        <v>356</v>
      </c>
      <c r="J124" s="1" t="s">
        <v>32</v>
      </c>
      <c r="K124" s="1" t="s">
        <v>205</v>
      </c>
      <c r="L124" s="2">
        <v>47088</v>
      </c>
      <c r="M124" s="4">
        <v>50800000</v>
      </c>
      <c r="N124" s="1" t="s">
        <v>23</v>
      </c>
      <c r="O124" s="3">
        <v>138</v>
      </c>
    </row>
    <row r="125" spans="1:15" x14ac:dyDescent="0.3">
      <c r="A125" s="1" t="s">
        <v>16</v>
      </c>
      <c r="B125" s="1" t="s">
        <v>159</v>
      </c>
      <c r="C125" s="1" t="s">
        <v>37</v>
      </c>
      <c r="D125" s="1" t="s">
        <v>164</v>
      </c>
      <c r="E125" s="1" t="s">
        <v>42</v>
      </c>
      <c r="F125" s="1">
        <v>50717</v>
      </c>
      <c r="G125" s="1" t="s">
        <v>364</v>
      </c>
      <c r="H125" s="1" t="s">
        <v>365</v>
      </c>
      <c r="I125" s="1" t="s">
        <v>356</v>
      </c>
      <c r="J125" s="1" t="s">
        <v>32</v>
      </c>
      <c r="K125" s="1" t="s">
        <v>205</v>
      </c>
      <c r="L125" s="2">
        <v>47112</v>
      </c>
      <c r="M125" s="4">
        <v>8340000</v>
      </c>
      <c r="N125" s="1" t="s">
        <v>23</v>
      </c>
      <c r="O125" s="3">
        <v>138</v>
      </c>
    </row>
    <row r="126" spans="1:15" x14ac:dyDescent="0.3">
      <c r="A126" s="1" t="s">
        <v>16</v>
      </c>
      <c r="B126" s="1" t="s">
        <v>159</v>
      </c>
      <c r="C126" s="1" t="s">
        <v>366</v>
      </c>
      <c r="D126" s="1" t="s">
        <v>164</v>
      </c>
      <c r="E126" s="1" t="s">
        <v>367</v>
      </c>
      <c r="F126" s="1">
        <v>50721</v>
      </c>
      <c r="G126" s="1" t="s">
        <v>368</v>
      </c>
      <c r="H126" s="1" t="s">
        <v>369</v>
      </c>
      <c r="I126" s="1" t="s">
        <v>370</v>
      </c>
      <c r="J126" s="1" t="s">
        <v>32</v>
      </c>
      <c r="K126" s="1" t="s">
        <v>205</v>
      </c>
      <c r="L126" s="2">
        <v>47270</v>
      </c>
      <c r="M126" s="4">
        <v>56500000</v>
      </c>
      <c r="N126" s="1" t="s">
        <v>50</v>
      </c>
      <c r="O126" s="3">
        <v>161</v>
      </c>
    </row>
    <row r="127" spans="1:15" x14ac:dyDescent="0.3">
      <c r="A127" s="1" t="s">
        <v>16</v>
      </c>
      <c r="B127" s="1" t="s">
        <v>159</v>
      </c>
      <c r="C127" s="1" t="s">
        <v>37</v>
      </c>
      <c r="D127" s="1" t="s">
        <v>164</v>
      </c>
      <c r="E127" s="1" t="s">
        <v>42</v>
      </c>
      <c r="F127" s="1">
        <v>50726</v>
      </c>
      <c r="G127" s="1" t="s">
        <v>371</v>
      </c>
      <c r="H127" s="1" t="s">
        <v>372</v>
      </c>
      <c r="I127" s="1" t="s">
        <v>373</v>
      </c>
      <c r="J127" s="1" t="s">
        <v>101</v>
      </c>
      <c r="L127" s="2">
        <v>46477</v>
      </c>
      <c r="M127" s="4">
        <v>2696411</v>
      </c>
      <c r="N127" s="1" t="s">
        <v>23</v>
      </c>
      <c r="O127" s="3">
        <v>345</v>
      </c>
    </row>
    <row r="128" spans="1:15" x14ac:dyDescent="0.3">
      <c r="A128" s="1" t="s">
        <v>16</v>
      </c>
      <c r="B128" s="1" t="s">
        <v>159</v>
      </c>
      <c r="C128" s="1" t="s">
        <v>51</v>
      </c>
      <c r="D128" s="1" t="s">
        <v>162</v>
      </c>
      <c r="E128" s="1" t="s">
        <v>18</v>
      </c>
      <c r="F128" s="1">
        <v>50729</v>
      </c>
      <c r="G128" s="1" t="s">
        <v>374</v>
      </c>
      <c r="H128" s="1" t="s">
        <v>375</v>
      </c>
      <c r="I128" s="1" t="s">
        <v>376</v>
      </c>
      <c r="J128" s="1" t="s">
        <v>101</v>
      </c>
      <c r="L128" s="2">
        <v>46843</v>
      </c>
      <c r="M128" s="4">
        <v>54563</v>
      </c>
      <c r="N128" s="1" t="s">
        <v>23</v>
      </c>
      <c r="O128" s="3">
        <v>345</v>
      </c>
    </row>
    <row r="129" spans="1:16" x14ac:dyDescent="0.3">
      <c r="A129" s="1" t="s">
        <v>16</v>
      </c>
      <c r="B129" s="1" t="s">
        <v>159</v>
      </c>
      <c r="C129" s="1" t="s">
        <v>17</v>
      </c>
      <c r="D129" s="1" t="s">
        <v>162</v>
      </c>
      <c r="E129" s="1" t="s">
        <v>18</v>
      </c>
      <c r="F129" s="1">
        <v>50730</v>
      </c>
      <c r="G129" s="1" t="s">
        <v>377</v>
      </c>
      <c r="H129" s="1" t="s">
        <v>378</v>
      </c>
      <c r="I129" s="1" t="s">
        <v>379</v>
      </c>
      <c r="J129" s="1" t="s">
        <v>32</v>
      </c>
      <c r="K129" s="1" t="s">
        <v>82</v>
      </c>
      <c r="L129" s="2">
        <v>47848</v>
      </c>
      <c r="M129" s="4">
        <v>42747000</v>
      </c>
      <c r="N129" s="1" t="s">
        <v>50</v>
      </c>
      <c r="O129" s="3">
        <v>120</v>
      </c>
    </row>
    <row r="130" spans="1:16" x14ac:dyDescent="0.3">
      <c r="A130" s="1" t="s">
        <v>16</v>
      </c>
      <c r="B130" s="1" t="s">
        <v>159</v>
      </c>
      <c r="C130" s="1" t="s">
        <v>380</v>
      </c>
      <c r="D130" s="1" t="s">
        <v>161</v>
      </c>
      <c r="E130" s="1" t="s">
        <v>73</v>
      </c>
      <c r="F130" s="1">
        <v>50732</v>
      </c>
      <c r="G130" s="1" t="s">
        <v>381</v>
      </c>
      <c r="H130" s="1" t="s">
        <v>382</v>
      </c>
      <c r="I130" s="1" t="s">
        <v>383</v>
      </c>
      <c r="J130" s="1" t="s">
        <v>32</v>
      </c>
      <c r="K130" s="1" t="s">
        <v>205</v>
      </c>
      <c r="L130" s="2">
        <v>46539</v>
      </c>
      <c r="M130" s="4">
        <v>2750000</v>
      </c>
      <c r="N130" s="1" t="s">
        <v>50</v>
      </c>
      <c r="O130" s="3">
        <v>69</v>
      </c>
      <c r="P130" s="3">
        <v>12</v>
      </c>
    </row>
    <row r="131" spans="1:16" x14ac:dyDescent="0.3">
      <c r="A131" s="1" t="s">
        <v>16</v>
      </c>
      <c r="B131" s="1" t="s">
        <v>159</v>
      </c>
      <c r="C131" s="1" t="s">
        <v>384</v>
      </c>
      <c r="D131" s="1" t="s">
        <v>161</v>
      </c>
      <c r="E131" s="1" t="s">
        <v>65</v>
      </c>
      <c r="F131" s="1">
        <v>50735</v>
      </c>
      <c r="G131" s="1" t="s">
        <v>385</v>
      </c>
      <c r="H131" s="1" t="s">
        <v>386</v>
      </c>
      <c r="I131" s="1" t="s">
        <v>387</v>
      </c>
      <c r="J131" s="1" t="s">
        <v>32</v>
      </c>
      <c r="K131" s="1" t="s">
        <v>205</v>
      </c>
      <c r="L131" s="2">
        <v>47088</v>
      </c>
      <c r="M131" s="4">
        <v>1200000</v>
      </c>
      <c r="N131" s="1" t="s">
        <v>50</v>
      </c>
      <c r="O131" s="3">
        <v>345</v>
      </c>
    </row>
    <row r="132" spans="1:16" x14ac:dyDescent="0.3">
      <c r="A132" s="1" t="s">
        <v>16</v>
      </c>
      <c r="B132" s="1" t="s">
        <v>159</v>
      </c>
      <c r="C132" s="1" t="s">
        <v>384</v>
      </c>
      <c r="D132" s="1" t="s">
        <v>161</v>
      </c>
      <c r="E132" s="1" t="s">
        <v>65</v>
      </c>
      <c r="F132" s="1">
        <v>50736</v>
      </c>
      <c r="G132" s="1" t="s">
        <v>388</v>
      </c>
      <c r="H132" s="1" t="s">
        <v>389</v>
      </c>
      <c r="I132" s="1" t="s">
        <v>387</v>
      </c>
      <c r="J132" s="1" t="s">
        <v>32</v>
      </c>
      <c r="K132" s="1" t="s">
        <v>205</v>
      </c>
      <c r="L132" s="2">
        <v>47088</v>
      </c>
      <c r="M132" s="4">
        <v>12000000</v>
      </c>
      <c r="N132" s="1" t="s">
        <v>50</v>
      </c>
      <c r="O132" s="3">
        <v>345</v>
      </c>
    </row>
    <row r="133" spans="1:16" x14ac:dyDescent="0.3">
      <c r="A133" s="1" t="s">
        <v>16</v>
      </c>
      <c r="B133" s="1" t="s">
        <v>159</v>
      </c>
      <c r="C133" s="1" t="s">
        <v>72</v>
      </c>
      <c r="D133" s="1" t="s">
        <v>161</v>
      </c>
      <c r="E133" s="1" t="s">
        <v>73</v>
      </c>
      <c r="F133" s="1">
        <v>50737</v>
      </c>
      <c r="G133" s="1" t="s">
        <v>390</v>
      </c>
      <c r="H133" s="1" t="s">
        <v>391</v>
      </c>
      <c r="I133" s="1" t="s">
        <v>387</v>
      </c>
      <c r="J133" s="1" t="s">
        <v>32</v>
      </c>
      <c r="K133" s="1" t="s">
        <v>205</v>
      </c>
      <c r="L133" s="2">
        <v>47088</v>
      </c>
      <c r="M133" s="4">
        <v>40000000</v>
      </c>
      <c r="N133" s="1" t="s">
        <v>50</v>
      </c>
      <c r="O133" s="3">
        <v>345</v>
      </c>
    </row>
    <row r="134" spans="1:16" x14ac:dyDescent="0.3">
      <c r="A134" s="1" t="s">
        <v>16</v>
      </c>
      <c r="B134" s="1" t="s">
        <v>159</v>
      </c>
      <c r="C134" s="1" t="s">
        <v>72</v>
      </c>
      <c r="D134" s="1" t="s">
        <v>161</v>
      </c>
      <c r="E134" s="1" t="s">
        <v>73</v>
      </c>
      <c r="F134" s="1">
        <v>50738</v>
      </c>
      <c r="G134" s="1" t="s">
        <v>392</v>
      </c>
      <c r="H134" s="1" t="s">
        <v>393</v>
      </c>
      <c r="I134" s="1" t="s">
        <v>387</v>
      </c>
      <c r="J134" s="1" t="s">
        <v>32</v>
      </c>
      <c r="K134" s="1" t="s">
        <v>205</v>
      </c>
      <c r="L134" s="2">
        <v>47088</v>
      </c>
      <c r="M134" s="4">
        <v>109000000</v>
      </c>
      <c r="N134" s="1" t="s">
        <v>50</v>
      </c>
      <c r="O134" s="3">
        <v>345</v>
      </c>
    </row>
    <row r="135" spans="1:16" x14ac:dyDescent="0.3">
      <c r="A135" s="1" t="s">
        <v>16</v>
      </c>
      <c r="B135" s="1" t="s">
        <v>160</v>
      </c>
      <c r="C135" s="1" t="s">
        <v>37</v>
      </c>
      <c r="D135" s="1" t="s">
        <v>164</v>
      </c>
      <c r="E135" s="1" t="s">
        <v>42</v>
      </c>
      <c r="F135" s="1">
        <v>50739</v>
      </c>
      <c r="G135" s="1" t="s">
        <v>394</v>
      </c>
      <c r="H135" s="1" t="s">
        <v>395</v>
      </c>
      <c r="I135" s="1" t="s">
        <v>396</v>
      </c>
      <c r="J135" s="1" t="s">
        <v>32</v>
      </c>
      <c r="K135" s="1" t="s">
        <v>46</v>
      </c>
      <c r="L135" s="2">
        <v>48213</v>
      </c>
      <c r="M135" s="4">
        <v>18400000</v>
      </c>
      <c r="N135" s="1" t="s">
        <v>23</v>
      </c>
      <c r="O135" s="3">
        <v>161</v>
      </c>
    </row>
    <row r="136" spans="1:16" x14ac:dyDescent="0.3">
      <c r="A136" s="1" t="s">
        <v>16</v>
      </c>
      <c r="B136" s="1" t="s">
        <v>159</v>
      </c>
      <c r="C136" s="1" t="s">
        <v>349</v>
      </c>
      <c r="D136" s="1" t="s">
        <v>163</v>
      </c>
      <c r="E136" s="1" t="s">
        <v>350</v>
      </c>
      <c r="F136" s="1">
        <v>50740</v>
      </c>
      <c r="G136" s="1" t="s">
        <v>397</v>
      </c>
      <c r="H136" s="1" t="s">
        <v>398</v>
      </c>
      <c r="I136" s="1" t="s">
        <v>399</v>
      </c>
      <c r="J136" s="1" t="s">
        <v>32</v>
      </c>
      <c r="K136" s="1" t="s">
        <v>205</v>
      </c>
      <c r="L136" s="2">
        <v>46631</v>
      </c>
      <c r="M136" s="4">
        <v>68100000</v>
      </c>
      <c r="N136" s="1" t="s">
        <v>50</v>
      </c>
      <c r="O136" s="3">
        <v>230</v>
      </c>
    </row>
    <row r="137" spans="1:16" x14ac:dyDescent="0.3">
      <c r="A137" s="1" t="s">
        <v>16</v>
      </c>
      <c r="B137" s="1" t="s">
        <v>159</v>
      </c>
      <c r="C137" s="1" t="s">
        <v>72</v>
      </c>
      <c r="D137" s="1" t="s">
        <v>161</v>
      </c>
      <c r="E137" s="1" t="s">
        <v>73</v>
      </c>
      <c r="F137" s="1">
        <v>50741</v>
      </c>
      <c r="G137" s="1" t="s">
        <v>400</v>
      </c>
      <c r="H137" s="1" t="s">
        <v>401</v>
      </c>
      <c r="I137" s="1" t="s">
        <v>402</v>
      </c>
      <c r="J137" s="1" t="s">
        <v>32</v>
      </c>
      <c r="K137" s="1" t="s">
        <v>205</v>
      </c>
      <c r="L137" s="2">
        <v>46751</v>
      </c>
      <c r="M137" s="4">
        <v>250000</v>
      </c>
      <c r="N137" s="1" t="s">
        <v>50</v>
      </c>
      <c r="O137" s="3">
        <v>345</v>
      </c>
    </row>
    <row r="138" spans="1:16" x14ac:dyDescent="0.3">
      <c r="A138" s="1" t="s">
        <v>16</v>
      </c>
      <c r="B138" s="1" t="s">
        <v>159</v>
      </c>
      <c r="C138" s="1" t="s">
        <v>72</v>
      </c>
      <c r="D138" s="1" t="s">
        <v>161</v>
      </c>
      <c r="E138" s="1" t="s">
        <v>73</v>
      </c>
      <c r="F138" s="1">
        <v>50743</v>
      </c>
      <c r="G138" s="1" t="s">
        <v>403</v>
      </c>
      <c r="H138" s="1" t="s">
        <v>404</v>
      </c>
      <c r="I138" s="1" t="s">
        <v>405</v>
      </c>
      <c r="J138" s="1" t="s">
        <v>22</v>
      </c>
      <c r="L138" s="2">
        <v>47088</v>
      </c>
      <c r="M138" s="4">
        <v>12000000</v>
      </c>
      <c r="N138" s="1" t="s">
        <v>50</v>
      </c>
      <c r="O138" s="3">
        <v>345</v>
      </c>
    </row>
    <row r="139" spans="1:16" x14ac:dyDescent="0.3">
      <c r="A139" s="1" t="s">
        <v>16</v>
      </c>
      <c r="B139" s="1" t="s">
        <v>159</v>
      </c>
      <c r="C139" s="1" t="s">
        <v>349</v>
      </c>
      <c r="D139" s="1" t="s">
        <v>163</v>
      </c>
      <c r="E139" s="1" t="s">
        <v>350</v>
      </c>
      <c r="F139" s="1">
        <v>50744</v>
      </c>
      <c r="G139" s="1" t="s">
        <v>406</v>
      </c>
      <c r="H139" s="1" t="s">
        <v>407</v>
      </c>
      <c r="I139" s="1" t="s">
        <v>408</v>
      </c>
      <c r="J139" s="1" t="s">
        <v>32</v>
      </c>
      <c r="K139" s="1" t="s">
        <v>205</v>
      </c>
      <c r="L139" s="2">
        <v>46631</v>
      </c>
      <c r="M139" s="4">
        <v>55000000</v>
      </c>
      <c r="N139" s="1" t="s">
        <v>50</v>
      </c>
      <c r="O139" s="3">
        <v>230</v>
      </c>
    </row>
    <row r="140" spans="1:16" x14ac:dyDescent="0.3">
      <c r="A140" s="1" t="s">
        <v>16</v>
      </c>
      <c r="B140" s="1" t="s">
        <v>159</v>
      </c>
      <c r="C140" s="1" t="s">
        <v>37</v>
      </c>
      <c r="D140" s="1" t="s">
        <v>164</v>
      </c>
      <c r="E140" s="1" t="s">
        <v>192</v>
      </c>
      <c r="F140" s="1">
        <v>50745</v>
      </c>
      <c r="G140" s="1" t="s">
        <v>409</v>
      </c>
      <c r="H140" s="1" t="s">
        <v>410</v>
      </c>
      <c r="I140" s="1" t="s">
        <v>411</v>
      </c>
      <c r="J140" s="1" t="s">
        <v>32</v>
      </c>
      <c r="K140" s="1" t="s">
        <v>33</v>
      </c>
      <c r="L140" s="2">
        <v>46357</v>
      </c>
      <c r="M140" s="4">
        <v>5600000</v>
      </c>
      <c r="N140" s="1" t="s">
        <v>23</v>
      </c>
      <c r="O140" s="3">
        <v>345</v>
      </c>
    </row>
    <row r="141" spans="1:16" x14ac:dyDescent="0.3">
      <c r="A141" s="1" t="s">
        <v>16</v>
      </c>
      <c r="B141" s="1" t="s">
        <v>159</v>
      </c>
      <c r="C141" s="1" t="s">
        <v>412</v>
      </c>
      <c r="D141" s="1" t="s">
        <v>163</v>
      </c>
      <c r="E141" s="1" t="s">
        <v>350</v>
      </c>
      <c r="F141" s="1">
        <v>50746</v>
      </c>
      <c r="G141" s="1" t="s">
        <v>413</v>
      </c>
      <c r="H141" s="1" t="s">
        <v>414</v>
      </c>
      <c r="I141" s="1" t="s">
        <v>415</v>
      </c>
      <c r="J141" s="1" t="s">
        <v>32</v>
      </c>
      <c r="K141" s="1" t="s">
        <v>33</v>
      </c>
      <c r="L141" s="2">
        <v>47483</v>
      </c>
      <c r="M141" s="4">
        <v>725000</v>
      </c>
      <c r="N141" s="1" t="s">
        <v>50</v>
      </c>
      <c r="O141" s="3">
        <v>230</v>
      </c>
    </row>
    <row r="142" spans="1:16" x14ac:dyDescent="0.3">
      <c r="A142" s="1" t="s">
        <v>16</v>
      </c>
      <c r="B142" s="1" t="s">
        <v>159</v>
      </c>
      <c r="C142" s="1" t="s">
        <v>416</v>
      </c>
      <c r="D142" s="1" t="s">
        <v>163</v>
      </c>
      <c r="E142" s="1" t="s">
        <v>417</v>
      </c>
      <c r="F142" s="1">
        <v>50747</v>
      </c>
      <c r="G142" s="1" t="s">
        <v>418</v>
      </c>
      <c r="H142" s="1" t="s">
        <v>419</v>
      </c>
      <c r="I142" s="1" t="s">
        <v>420</v>
      </c>
      <c r="J142" s="1" t="s">
        <v>32</v>
      </c>
      <c r="K142" s="1" t="s">
        <v>46</v>
      </c>
      <c r="L142" s="2">
        <v>46661</v>
      </c>
      <c r="M142" s="4">
        <v>10000000</v>
      </c>
      <c r="N142" s="1" t="s">
        <v>50</v>
      </c>
      <c r="O142" s="3">
        <v>138</v>
      </c>
    </row>
    <row r="143" spans="1:16" x14ac:dyDescent="0.3">
      <c r="A143" s="1" t="s">
        <v>16</v>
      </c>
      <c r="B143" s="1" t="s">
        <v>159</v>
      </c>
      <c r="C143" s="1" t="s">
        <v>232</v>
      </c>
      <c r="D143" s="1" t="s">
        <v>161</v>
      </c>
      <c r="E143" s="1" t="s">
        <v>28</v>
      </c>
      <c r="F143" s="1">
        <v>50748</v>
      </c>
      <c r="G143" s="1" t="s">
        <v>421</v>
      </c>
      <c r="H143" s="1" t="s">
        <v>422</v>
      </c>
      <c r="I143" s="1" t="s">
        <v>423</v>
      </c>
      <c r="J143" s="1" t="s">
        <v>32</v>
      </c>
      <c r="K143" s="1" t="s">
        <v>33</v>
      </c>
      <c r="L143" s="2">
        <v>47091</v>
      </c>
      <c r="M143" s="4">
        <v>8152787</v>
      </c>
      <c r="N143" s="1" t="s">
        <v>23</v>
      </c>
      <c r="O143" s="3">
        <v>345</v>
      </c>
    </row>
    <row r="144" spans="1:16" x14ac:dyDescent="0.3">
      <c r="A144" s="1" t="s">
        <v>16</v>
      </c>
      <c r="B144" s="1" t="s">
        <v>159</v>
      </c>
      <c r="C144" s="1" t="s">
        <v>232</v>
      </c>
      <c r="D144" s="1" t="s">
        <v>161</v>
      </c>
      <c r="E144" s="1" t="s">
        <v>28</v>
      </c>
      <c r="F144" s="1">
        <v>50749</v>
      </c>
      <c r="G144" s="1" t="s">
        <v>424</v>
      </c>
      <c r="H144" s="1" t="s">
        <v>425</v>
      </c>
      <c r="I144" s="1" t="s">
        <v>426</v>
      </c>
      <c r="J144" s="1" t="s">
        <v>32</v>
      </c>
      <c r="K144" s="1" t="s">
        <v>82</v>
      </c>
      <c r="L144" s="2">
        <v>46692</v>
      </c>
      <c r="M144" s="4">
        <v>10580354</v>
      </c>
      <c r="N144" s="1" t="s">
        <v>23</v>
      </c>
      <c r="O144" s="3">
        <v>345</v>
      </c>
      <c r="P144" s="3">
        <v>69</v>
      </c>
    </row>
    <row r="145" spans="1:16" x14ac:dyDescent="0.3">
      <c r="A145" s="1" t="s">
        <v>16</v>
      </c>
      <c r="B145" s="1" t="s">
        <v>160</v>
      </c>
      <c r="C145" s="1" t="s">
        <v>37</v>
      </c>
      <c r="D145" s="1" t="s">
        <v>164</v>
      </c>
      <c r="E145" s="1" t="s">
        <v>42</v>
      </c>
      <c r="F145" s="1">
        <v>50756</v>
      </c>
      <c r="G145" s="1" t="s">
        <v>427</v>
      </c>
      <c r="H145" s="1" t="s">
        <v>428</v>
      </c>
      <c r="I145" s="1" t="s">
        <v>356</v>
      </c>
      <c r="J145" s="1" t="s">
        <v>32</v>
      </c>
      <c r="K145" s="1" t="s">
        <v>205</v>
      </c>
      <c r="L145" s="2">
        <v>47119</v>
      </c>
      <c r="M145" s="4">
        <v>72000000</v>
      </c>
      <c r="N145" s="1" t="s">
        <v>23</v>
      </c>
      <c r="O145" s="3">
        <v>138</v>
      </c>
    </row>
    <row r="146" spans="1:16" x14ac:dyDescent="0.3">
      <c r="A146" s="1" t="s">
        <v>16</v>
      </c>
      <c r="B146" s="1" t="s">
        <v>159</v>
      </c>
      <c r="C146" s="1" t="s">
        <v>41</v>
      </c>
      <c r="D146" s="1" t="s">
        <v>164</v>
      </c>
      <c r="E146" s="1" t="s">
        <v>42</v>
      </c>
      <c r="F146" s="1">
        <v>50761</v>
      </c>
      <c r="G146" s="1" t="s">
        <v>429</v>
      </c>
      <c r="H146" s="1" t="s">
        <v>430</v>
      </c>
      <c r="I146" s="1" t="s">
        <v>431</v>
      </c>
      <c r="J146" s="1" t="s">
        <v>32</v>
      </c>
      <c r="K146" s="1" t="s">
        <v>46</v>
      </c>
      <c r="L146" s="2">
        <v>46446</v>
      </c>
      <c r="M146" s="4">
        <v>59800000</v>
      </c>
      <c r="N146" s="1" t="s">
        <v>23</v>
      </c>
      <c r="O146" s="3">
        <v>34</v>
      </c>
      <c r="P146" s="3">
        <v>13</v>
      </c>
    </row>
    <row r="147" spans="1:16" x14ac:dyDescent="0.3">
      <c r="A147" s="1" t="s">
        <v>16</v>
      </c>
      <c r="B147" s="1" t="s">
        <v>159</v>
      </c>
      <c r="C147" s="1" t="s">
        <v>37</v>
      </c>
      <c r="D147" s="1" t="s">
        <v>164</v>
      </c>
      <c r="E147" s="1" t="s">
        <v>42</v>
      </c>
      <c r="F147" s="1">
        <v>50767</v>
      </c>
      <c r="G147" s="1" t="s">
        <v>432</v>
      </c>
      <c r="H147" s="1" t="s">
        <v>433</v>
      </c>
      <c r="I147" s="1" t="s">
        <v>82</v>
      </c>
      <c r="J147" s="1" t="s">
        <v>32</v>
      </c>
      <c r="K147" s="1" t="s">
        <v>82</v>
      </c>
      <c r="L147" s="2">
        <v>47150</v>
      </c>
      <c r="M147" s="4">
        <v>21900000</v>
      </c>
      <c r="N147" s="1" t="s">
        <v>23</v>
      </c>
      <c r="O147" s="3">
        <v>69</v>
      </c>
    </row>
    <row r="148" spans="1:16" x14ac:dyDescent="0.3">
      <c r="A148" s="1" t="s">
        <v>16</v>
      </c>
      <c r="B148" s="1" t="s">
        <v>159</v>
      </c>
      <c r="C148" s="1" t="s">
        <v>329</v>
      </c>
      <c r="D148" s="1" t="s">
        <v>161</v>
      </c>
      <c r="E148" s="1" t="s">
        <v>28</v>
      </c>
      <c r="F148" s="1">
        <v>50768</v>
      </c>
      <c r="G148" s="1" t="s">
        <v>434</v>
      </c>
      <c r="H148" s="1" t="s">
        <v>435</v>
      </c>
      <c r="I148" s="1" t="s">
        <v>436</v>
      </c>
      <c r="J148" s="1" t="s">
        <v>22</v>
      </c>
      <c r="L148" s="2">
        <v>45657</v>
      </c>
      <c r="M148" s="4">
        <v>2000000</v>
      </c>
      <c r="N148" s="1" t="s">
        <v>171</v>
      </c>
      <c r="O148" s="3">
        <v>138</v>
      </c>
    </row>
    <row r="149" spans="1:16" x14ac:dyDescent="0.3">
      <c r="A149" s="1" t="s">
        <v>16</v>
      </c>
      <c r="B149" s="1" t="s">
        <v>160</v>
      </c>
      <c r="C149" s="1" t="s">
        <v>55</v>
      </c>
      <c r="D149" s="1" t="s">
        <v>164</v>
      </c>
      <c r="E149" s="1" t="s">
        <v>56</v>
      </c>
      <c r="F149" s="1">
        <v>50769</v>
      </c>
      <c r="G149" s="1" t="s">
        <v>437</v>
      </c>
      <c r="H149" s="1" t="s">
        <v>438</v>
      </c>
      <c r="I149" s="1" t="s">
        <v>439</v>
      </c>
      <c r="J149" s="1" t="s">
        <v>22</v>
      </c>
      <c r="L149" s="2">
        <v>47848</v>
      </c>
      <c r="M149" s="4">
        <v>88750000</v>
      </c>
      <c r="N149" s="1" t="s">
        <v>23</v>
      </c>
      <c r="O149" s="3">
        <v>115</v>
      </c>
    </row>
    <row r="150" spans="1:16" x14ac:dyDescent="0.3">
      <c r="A150" s="1" t="s">
        <v>16</v>
      </c>
      <c r="B150" s="1" t="s">
        <v>159</v>
      </c>
      <c r="C150" s="1" t="s">
        <v>37</v>
      </c>
      <c r="D150" s="1" t="s">
        <v>164</v>
      </c>
      <c r="E150" s="1" t="s">
        <v>18</v>
      </c>
      <c r="F150" s="1">
        <v>50770</v>
      </c>
      <c r="G150" s="1" t="s">
        <v>440</v>
      </c>
      <c r="H150" s="1" t="s">
        <v>441</v>
      </c>
      <c r="I150" s="1" t="s">
        <v>442</v>
      </c>
      <c r="J150" s="1" t="s">
        <v>22</v>
      </c>
      <c r="L150" s="2">
        <v>47818</v>
      </c>
      <c r="M150" s="4">
        <v>235900000</v>
      </c>
      <c r="N150" s="1" t="s">
        <v>23</v>
      </c>
      <c r="O150" s="3">
        <v>138</v>
      </c>
      <c r="P150" s="3">
        <v>69</v>
      </c>
    </row>
    <row r="151" spans="1:16" x14ac:dyDescent="0.3">
      <c r="A151" s="1" t="s">
        <v>16</v>
      </c>
      <c r="B151" s="1" t="s">
        <v>159</v>
      </c>
      <c r="C151" s="1" t="s">
        <v>72</v>
      </c>
      <c r="D151" s="1" t="s">
        <v>161</v>
      </c>
      <c r="E151" s="1" t="s">
        <v>73</v>
      </c>
      <c r="F151" s="1">
        <v>50771</v>
      </c>
      <c r="G151" s="1" t="s">
        <v>443</v>
      </c>
      <c r="H151" s="1" t="s">
        <v>444</v>
      </c>
      <c r="I151" s="1" t="s">
        <v>100</v>
      </c>
      <c r="J151" s="1" t="s">
        <v>101</v>
      </c>
      <c r="L151" s="2">
        <v>46539</v>
      </c>
      <c r="M151" s="4">
        <v>2500000</v>
      </c>
      <c r="N151" s="1" t="s">
        <v>23</v>
      </c>
      <c r="O151" s="3">
        <v>345</v>
      </c>
    </row>
    <row r="152" spans="1:16" x14ac:dyDescent="0.3">
      <c r="A152" s="1" t="s">
        <v>16</v>
      </c>
      <c r="B152" s="1" t="s">
        <v>159</v>
      </c>
      <c r="C152" s="1" t="s">
        <v>72</v>
      </c>
      <c r="D152" s="1" t="s">
        <v>161</v>
      </c>
      <c r="E152" s="1" t="s">
        <v>73</v>
      </c>
      <c r="F152" s="1">
        <v>50772</v>
      </c>
      <c r="G152" s="1" t="s">
        <v>445</v>
      </c>
      <c r="H152" s="1" t="s">
        <v>446</v>
      </c>
      <c r="I152" s="1" t="s">
        <v>100</v>
      </c>
      <c r="J152" s="1" t="s">
        <v>101</v>
      </c>
      <c r="L152" s="2">
        <v>46539</v>
      </c>
      <c r="M152" s="4">
        <v>250000</v>
      </c>
      <c r="N152" s="1" t="s">
        <v>23</v>
      </c>
      <c r="O152" s="3">
        <v>345</v>
      </c>
    </row>
    <row r="153" spans="1:16" x14ac:dyDescent="0.3">
      <c r="A153" s="1" t="s">
        <v>16</v>
      </c>
      <c r="B153" s="1" t="s">
        <v>159</v>
      </c>
      <c r="C153" s="1" t="s">
        <v>64</v>
      </c>
      <c r="D153" s="1" t="s">
        <v>161</v>
      </c>
      <c r="E153" s="1" t="s">
        <v>65</v>
      </c>
      <c r="F153" s="1">
        <v>50773</v>
      </c>
      <c r="G153" s="1" t="s">
        <v>447</v>
      </c>
      <c r="H153" s="1" t="s">
        <v>448</v>
      </c>
      <c r="I153" s="1" t="s">
        <v>449</v>
      </c>
      <c r="J153" s="1" t="s">
        <v>101</v>
      </c>
      <c r="L153" s="2">
        <v>47270</v>
      </c>
      <c r="M153" s="4">
        <v>15000000</v>
      </c>
      <c r="N153" s="1" t="s">
        <v>23</v>
      </c>
      <c r="O153" s="3">
        <v>138</v>
      </c>
    </row>
    <row r="154" spans="1:16" x14ac:dyDescent="0.3">
      <c r="A154" s="1" t="s">
        <v>16</v>
      </c>
      <c r="B154" s="1" t="s">
        <v>159</v>
      </c>
      <c r="C154" s="1" t="s">
        <v>64</v>
      </c>
      <c r="D154" s="1" t="s">
        <v>161</v>
      </c>
      <c r="E154" s="1" t="s">
        <v>65</v>
      </c>
      <c r="F154" s="1">
        <v>50774</v>
      </c>
      <c r="G154" s="1" t="s">
        <v>450</v>
      </c>
      <c r="H154" s="1" t="s">
        <v>451</v>
      </c>
      <c r="I154" s="1" t="s">
        <v>449</v>
      </c>
      <c r="J154" s="1" t="s">
        <v>101</v>
      </c>
      <c r="L154" s="2">
        <v>46722</v>
      </c>
      <c r="M154" s="4">
        <v>16184000</v>
      </c>
      <c r="N154" s="1" t="s">
        <v>23</v>
      </c>
      <c r="O154" s="3">
        <v>345</v>
      </c>
    </row>
    <row r="155" spans="1:16" x14ac:dyDescent="0.3">
      <c r="A155" s="1" t="s">
        <v>16</v>
      </c>
      <c r="B155" s="1" t="s">
        <v>159</v>
      </c>
      <c r="C155" s="1" t="s">
        <v>452</v>
      </c>
      <c r="D155" s="1" t="s">
        <v>164</v>
      </c>
      <c r="E155" s="1" t="s">
        <v>367</v>
      </c>
      <c r="F155" s="1">
        <v>50775</v>
      </c>
      <c r="G155" s="1" t="s">
        <v>453</v>
      </c>
      <c r="H155" s="1" t="s">
        <v>454</v>
      </c>
      <c r="I155" s="1" t="s">
        <v>455</v>
      </c>
      <c r="J155" s="1" t="s">
        <v>32</v>
      </c>
      <c r="K155" s="1" t="s">
        <v>205</v>
      </c>
      <c r="L155" s="2">
        <v>46935</v>
      </c>
      <c r="M155" s="4">
        <v>11255408</v>
      </c>
      <c r="N155" s="1" t="s">
        <v>50</v>
      </c>
      <c r="O155" s="3">
        <v>345</v>
      </c>
      <c r="P155" s="3">
        <v>345</v>
      </c>
    </row>
    <row r="156" spans="1:16" x14ac:dyDescent="0.3">
      <c r="A156" s="1" t="s">
        <v>16</v>
      </c>
      <c r="B156" s="1" t="s">
        <v>159</v>
      </c>
      <c r="C156" s="1" t="s">
        <v>72</v>
      </c>
      <c r="D156" s="1" t="s">
        <v>161</v>
      </c>
      <c r="E156" s="1" t="s">
        <v>73</v>
      </c>
      <c r="F156" s="1">
        <v>50776</v>
      </c>
      <c r="G156" s="1" t="s">
        <v>456</v>
      </c>
      <c r="H156" s="1" t="s">
        <v>457</v>
      </c>
      <c r="I156" s="1" t="s">
        <v>449</v>
      </c>
      <c r="J156" s="1" t="s">
        <v>101</v>
      </c>
      <c r="L156" s="2">
        <v>46722</v>
      </c>
      <c r="M156" s="4">
        <v>17000000</v>
      </c>
      <c r="N156" s="1" t="s">
        <v>23</v>
      </c>
      <c r="O156" s="3">
        <v>161</v>
      </c>
    </row>
    <row r="157" spans="1:16" x14ac:dyDescent="0.3">
      <c r="A157" s="1" t="s">
        <v>16</v>
      </c>
      <c r="B157" s="1" t="s">
        <v>159</v>
      </c>
      <c r="C157" s="1" t="s">
        <v>55</v>
      </c>
      <c r="D157" s="1" t="s">
        <v>164</v>
      </c>
      <c r="E157" s="1" t="s">
        <v>56</v>
      </c>
      <c r="F157" s="1">
        <v>50777</v>
      </c>
      <c r="G157" s="1" t="s">
        <v>458</v>
      </c>
      <c r="H157" s="1" t="s">
        <v>229</v>
      </c>
      <c r="I157" s="1" t="s">
        <v>33</v>
      </c>
      <c r="J157" s="1" t="s">
        <v>32</v>
      </c>
      <c r="K157" s="1" t="s">
        <v>33</v>
      </c>
      <c r="L157" s="2">
        <v>46752</v>
      </c>
      <c r="M157" s="4">
        <v>3000000</v>
      </c>
      <c r="N157" s="1" t="s">
        <v>23</v>
      </c>
      <c r="O157" s="3">
        <v>230</v>
      </c>
    </row>
    <row r="158" spans="1:16" x14ac:dyDescent="0.3">
      <c r="A158" s="1" t="s">
        <v>16</v>
      </c>
      <c r="B158" s="1" t="s">
        <v>160</v>
      </c>
      <c r="C158" s="1" t="s">
        <v>37</v>
      </c>
      <c r="D158" s="1" t="s">
        <v>164</v>
      </c>
      <c r="E158" s="1" t="s">
        <v>42</v>
      </c>
      <c r="F158" s="1">
        <v>50778</v>
      </c>
      <c r="G158" s="1" t="s">
        <v>459</v>
      </c>
      <c r="H158" s="1" t="s">
        <v>460</v>
      </c>
      <c r="I158" s="1" t="s">
        <v>156</v>
      </c>
      <c r="J158" s="1" t="s">
        <v>32</v>
      </c>
      <c r="K158" s="1" t="s">
        <v>33</v>
      </c>
      <c r="L158" s="2">
        <v>48183</v>
      </c>
      <c r="M158" s="4">
        <v>61950000</v>
      </c>
      <c r="N158" s="1" t="s">
        <v>23</v>
      </c>
      <c r="O158" s="3">
        <v>138</v>
      </c>
    </row>
    <row r="159" spans="1:16" x14ac:dyDescent="0.3">
      <c r="A159" s="1" t="s">
        <v>16</v>
      </c>
      <c r="B159" s="1" t="s">
        <v>159</v>
      </c>
      <c r="C159" s="1" t="s">
        <v>349</v>
      </c>
      <c r="D159" s="1" t="s">
        <v>163</v>
      </c>
      <c r="E159" s="1" t="s">
        <v>350</v>
      </c>
      <c r="F159" s="1">
        <v>50779</v>
      </c>
      <c r="G159" s="1" t="s">
        <v>461</v>
      </c>
      <c r="H159" s="1" t="s">
        <v>462</v>
      </c>
      <c r="I159" s="1" t="s">
        <v>463</v>
      </c>
      <c r="J159" s="1" t="s">
        <v>32</v>
      </c>
      <c r="K159" s="1" t="s">
        <v>205</v>
      </c>
      <c r="L159" s="2">
        <v>46160</v>
      </c>
      <c r="M159" s="4">
        <v>27700000</v>
      </c>
      <c r="N159" s="1" t="s">
        <v>171</v>
      </c>
      <c r="O159" s="3">
        <v>230</v>
      </c>
    </row>
    <row r="160" spans="1:16" x14ac:dyDescent="0.3">
      <c r="A160" s="1" t="s">
        <v>16</v>
      </c>
      <c r="B160" s="1" t="s">
        <v>159</v>
      </c>
      <c r="C160" s="1" t="s">
        <v>224</v>
      </c>
      <c r="D160" s="1" t="s">
        <v>164</v>
      </c>
      <c r="E160" s="1" t="s">
        <v>56</v>
      </c>
      <c r="F160" s="1">
        <v>50780</v>
      </c>
      <c r="G160" s="1" t="s">
        <v>464</v>
      </c>
      <c r="H160" s="1" t="s">
        <v>465</v>
      </c>
      <c r="I160" s="1" t="s">
        <v>466</v>
      </c>
      <c r="J160" s="1" t="s">
        <v>32</v>
      </c>
      <c r="K160" s="1" t="s">
        <v>205</v>
      </c>
      <c r="L160" s="2">
        <v>46691</v>
      </c>
      <c r="M160" s="4">
        <v>6500000</v>
      </c>
      <c r="N160" s="1" t="s">
        <v>50</v>
      </c>
      <c r="O160" s="3">
        <v>115</v>
      </c>
    </row>
    <row r="161" spans="1:16" x14ac:dyDescent="0.3">
      <c r="A161" s="1" t="s">
        <v>16</v>
      </c>
      <c r="B161" s="1" t="s">
        <v>159</v>
      </c>
      <c r="C161" s="1" t="s">
        <v>329</v>
      </c>
      <c r="D161" s="1" t="s">
        <v>161</v>
      </c>
      <c r="E161" s="1" t="s">
        <v>28</v>
      </c>
      <c r="F161" s="1">
        <v>50789</v>
      </c>
      <c r="G161" s="1" t="s">
        <v>467</v>
      </c>
      <c r="H161" s="1" t="s">
        <v>468</v>
      </c>
      <c r="I161" s="1" t="s">
        <v>469</v>
      </c>
      <c r="J161" s="1" t="s">
        <v>22</v>
      </c>
      <c r="L161" s="2">
        <v>46752</v>
      </c>
      <c r="M161" s="4">
        <v>11664818</v>
      </c>
      <c r="N161" s="1" t="s">
        <v>50</v>
      </c>
      <c r="O161" s="3">
        <v>345</v>
      </c>
      <c r="P161" s="3">
        <v>138</v>
      </c>
    </row>
    <row r="162" spans="1:16" x14ac:dyDescent="0.3">
      <c r="A162" s="1" t="s">
        <v>16</v>
      </c>
      <c r="B162" s="1" t="s">
        <v>159</v>
      </c>
      <c r="C162" s="1" t="s">
        <v>329</v>
      </c>
      <c r="D162" s="1" t="s">
        <v>161</v>
      </c>
      <c r="E162" s="1" t="s">
        <v>28</v>
      </c>
      <c r="F162" s="1">
        <v>50790</v>
      </c>
      <c r="G162" s="1" t="s">
        <v>470</v>
      </c>
      <c r="H162" s="1" t="s">
        <v>471</v>
      </c>
      <c r="I162" s="1" t="s">
        <v>472</v>
      </c>
      <c r="J162" s="1" t="s">
        <v>22</v>
      </c>
      <c r="L162" s="2">
        <v>47573</v>
      </c>
      <c r="M162" s="4">
        <v>30000000</v>
      </c>
      <c r="N162" s="1" t="s">
        <v>50</v>
      </c>
      <c r="O162" s="3">
        <v>138</v>
      </c>
    </row>
    <row r="163" spans="1:16" x14ac:dyDescent="0.3">
      <c r="A163" s="1" t="s">
        <v>16</v>
      </c>
      <c r="B163" s="1" t="s">
        <v>159</v>
      </c>
      <c r="C163" s="1" t="s">
        <v>72</v>
      </c>
      <c r="D163" s="1" t="s">
        <v>161</v>
      </c>
      <c r="E163" s="1" t="s">
        <v>73</v>
      </c>
      <c r="F163" s="1">
        <v>50791</v>
      </c>
      <c r="G163" s="1" t="s">
        <v>473</v>
      </c>
      <c r="H163" s="1" t="s">
        <v>474</v>
      </c>
      <c r="I163" s="1" t="s">
        <v>402</v>
      </c>
      <c r="J163" s="1" t="s">
        <v>32</v>
      </c>
      <c r="K163" s="1" t="s">
        <v>205</v>
      </c>
      <c r="L163" s="2">
        <v>47453</v>
      </c>
      <c r="M163" s="4">
        <v>98800000</v>
      </c>
      <c r="N163" s="1" t="s">
        <v>50</v>
      </c>
      <c r="O163" s="3">
        <v>345</v>
      </c>
    </row>
    <row r="164" spans="1:16" x14ac:dyDescent="0.3">
      <c r="A164" s="1" t="s">
        <v>16</v>
      </c>
      <c r="B164" s="1" t="s">
        <v>159</v>
      </c>
      <c r="C164" s="1" t="s">
        <v>329</v>
      </c>
      <c r="D164" s="1" t="s">
        <v>161</v>
      </c>
      <c r="E164" s="1" t="s">
        <v>28</v>
      </c>
      <c r="F164" s="1">
        <v>50792</v>
      </c>
      <c r="G164" s="1" t="s">
        <v>475</v>
      </c>
      <c r="H164" s="1" t="s">
        <v>476</v>
      </c>
      <c r="I164" s="1" t="s">
        <v>477</v>
      </c>
      <c r="J164" s="1" t="s">
        <v>32</v>
      </c>
      <c r="K164" s="1" t="s">
        <v>205</v>
      </c>
      <c r="L164" s="2">
        <v>47909</v>
      </c>
      <c r="M164" s="4">
        <v>10000000</v>
      </c>
      <c r="N164" s="1" t="s">
        <v>23</v>
      </c>
      <c r="O164" s="3">
        <v>138</v>
      </c>
      <c r="P164" s="3">
        <v>13</v>
      </c>
    </row>
    <row r="165" spans="1:16" x14ac:dyDescent="0.3">
      <c r="A165" s="1" t="s">
        <v>16</v>
      </c>
      <c r="B165" s="1" t="s">
        <v>159</v>
      </c>
      <c r="C165" s="1" t="s">
        <v>478</v>
      </c>
      <c r="D165" s="1" t="s">
        <v>163</v>
      </c>
      <c r="E165" s="1" t="s">
        <v>417</v>
      </c>
      <c r="F165" s="1">
        <v>50793</v>
      </c>
      <c r="G165" s="1" t="s">
        <v>479</v>
      </c>
      <c r="H165" s="1" t="s">
        <v>480</v>
      </c>
      <c r="I165" s="1" t="s">
        <v>481</v>
      </c>
      <c r="J165" s="1" t="s">
        <v>22</v>
      </c>
      <c r="L165" s="2">
        <v>47818</v>
      </c>
      <c r="M165" s="4">
        <v>75000000</v>
      </c>
      <c r="N165" s="1" t="s">
        <v>23</v>
      </c>
      <c r="O165" s="3">
        <v>138</v>
      </c>
    </row>
    <row r="166" spans="1:16" x14ac:dyDescent="0.3">
      <c r="A166" s="1" t="s">
        <v>16</v>
      </c>
      <c r="B166" s="1" t="s">
        <v>159</v>
      </c>
      <c r="C166" s="1" t="s">
        <v>329</v>
      </c>
      <c r="D166" s="1" t="s">
        <v>161</v>
      </c>
      <c r="E166" s="1" t="s">
        <v>28</v>
      </c>
      <c r="F166" s="1">
        <v>50795</v>
      </c>
      <c r="G166" s="1" t="s">
        <v>482</v>
      </c>
      <c r="H166" s="1" t="s">
        <v>483</v>
      </c>
      <c r="I166" s="1" t="s">
        <v>484</v>
      </c>
      <c r="J166" s="1" t="s">
        <v>22</v>
      </c>
      <c r="L166" s="2">
        <v>47483</v>
      </c>
      <c r="M166" s="4">
        <v>15000000</v>
      </c>
      <c r="N166" s="1" t="s">
        <v>50</v>
      </c>
      <c r="O166" s="3">
        <v>345</v>
      </c>
    </row>
    <row r="167" spans="1:16" x14ac:dyDescent="0.3">
      <c r="A167" s="1" t="s">
        <v>16</v>
      </c>
      <c r="B167" s="1" t="s">
        <v>159</v>
      </c>
      <c r="C167" s="1" t="s">
        <v>380</v>
      </c>
      <c r="D167" s="1" t="s">
        <v>161</v>
      </c>
      <c r="E167" s="1" t="s">
        <v>73</v>
      </c>
      <c r="F167" s="1">
        <v>50796</v>
      </c>
      <c r="G167" s="1" t="s">
        <v>485</v>
      </c>
      <c r="H167" s="1" t="s">
        <v>486</v>
      </c>
      <c r="I167" s="1" t="s">
        <v>487</v>
      </c>
      <c r="J167" s="1" t="s">
        <v>32</v>
      </c>
      <c r="K167" s="1" t="s">
        <v>33</v>
      </c>
      <c r="L167" s="2">
        <v>46478</v>
      </c>
      <c r="M167" s="4">
        <v>1500000</v>
      </c>
      <c r="N167" s="1" t="s">
        <v>50</v>
      </c>
      <c r="O167" s="3">
        <v>138</v>
      </c>
      <c r="P167" s="3">
        <v>138</v>
      </c>
    </row>
    <row r="168" spans="1:16" x14ac:dyDescent="0.3">
      <c r="A168" s="1" t="s">
        <v>16</v>
      </c>
      <c r="B168" s="1" t="s">
        <v>159</v>
      </c>
      <c r="C168" s="1" t="s">
        <v>380</v>
      </c>
      <c r="D168" s="1" t="s">
        <v>161</v>
      </c>
      <c r="E168" s="1" t="s">
        <v>73</v>
      </c>
      <c r="F168" s="1">
        <v>50797</v>
      </c>
      <c r="G168" s="1" t="s">
        <v>488</v>
      </c>
      <c r="H168" s="1" t="s">
        <v>489</v>
      </c>
      <c r="I168" s="1" t="s">
        <v>490</v>
      </c>
      <c r="J168" s="1" t="s">
        <v>32</v>
      </c>
      <c r="K168" s="1" t="s">
        <v>33</v>
      </c>
      <c r="L168" s="2">
        <v>46478</v>
      </c>
      <c r="M168" s="4">
        <v>1500000</v>
      </c>
      <c r="N168" s="1" t="s">
        <v>50</v>
      </c>
      <c r="O168" s="3">
        <v>138</v>
      </c>
      <c r="P168" s="3">
        <v>138</v>
      </c>
    </row>
    <row r="169" spans="1:16" x14ac:dyDescent="0.3">
      <c r="A169" s="1" t="s">
        <v>16</v>
      </c>
      <c r="B169" s="1" t="s">
        <v>159</v>
      </c>
      <c r="C169" s="1" t="s">
        <v>491</v>
      </c>
      <c r="D169" s="1" t="s">
        <v>161</v>
      </c>
      <c r="E169" s="1" t="s">
        <v>65</v>
      </c>
      <c r="F169" s="1">
        <v>50798</v>
      </c>
      <c r="G169" s="1" t="s">
        <v>492</v>
      </c>
      <c r="H169" s="1" t="s">
        <v>493</v>
      </c>
      <c r="I169" s="1" t="s">
        <v>494</v>
      </c>
      <c r="J169" s="1" t="s">
        <v>32</v>
      </c>
      <c r="K169" s="1" t="s">
        <v>46</v>
      </c>
      <c r="L169" s="2">
        <v>46357</v>
      </c>
      <c r="M169" s="4">
        <v>600000</v>
      </c>
      <c r="N169" s="1" t="s">
        <v>50</v>
      </c>
      <c r="O169" s="3">
        <v>138</v>
      </c>
      <c r="P169" s="3">
        <v>69</v>
      </c>
    </row>
    <row r="170" spans="1:16" x14ac:dyDescent="0.3">
      <c r="A170" s="1" t="s">
        <v>16</v>
      </c>
      <c r="B170" s="1" t="s">
        <v>159</v>
      </c>
      <c r="C170" s="1" t="s">
        <v>491</v>
      </c>
      <c r="D170" s="1" t="s">
        <v>161</v>
      </c>
      <c r="E170" s="1" t="s">
        <v>65</v>
      </c>
      <c r="F170" s="1">
        <v>50799</v>
      </c>
      <c r="G170" s="1" t="s">
        <v>495</v>
      </c>
      <c r="H170" s="1" t="s">
        <v>496</v>
      </c>
      <c r="I170" s="1" t="s">
        <v>497</v>
      </c>
      <c r="J170" s="1" t="s">
        <v>32</v>
      </c>
      <c r="K170" s="1" t="s">
        <v>46</v>
      </c>
      <c r="L170" s="2">
        <v>46722</v>
      </c>
      <c r="M170" s="4">
        <v>500000</v>
      </c>
      <c r="N170" s="1" t="s">
        <v>23</v>
      </c>
      <c r="O170" s="3">
        <v>69</v>
      </c>
    </row>
    <row r="171" spans="1:16" x14ac:dyDescent="0.3">
      <c r="A171" s="1" t="s">
        <v>16</v>
      </c>
      <c r="B171" s="1" t="s">
        <v>159</v>
      </c>
      <c r="C171" s="1" t="s">
        <v>491</v>
      </c>
      <c r="D171" s="1" t="s">
        <v>161</v>
      </c>
      <c r="E171" s="1" t="s">
        <v>65</v>
      </c>
      <c r="F171" s="1">
        <v>50800</v>
      </c>
      <c r="G171" s="1" t="s">
        <v>498</v>
      </c>
      <c r="H171" s="1" t="s">
        <v>499</v>
      </c>
      <c r="I171" s="1" t="s">
        <v>500</v>
      </c>
      <c r="J171" s="1" t="s">
        <v>32</v>
      </c>
      <c r="K171" s="1" t="s">
        <v>46</v>
      </c>
      <c r="L171" s="2">
        <v>46723</v>
      </c>
      <c r="M171" s="4">
        <v>3900000</v>
      </c>
      <c r="N171" s="1" t="s">
        <v>23</v>
      </c>
      <c r="O171" s="3">
        <v>69</v>
      </c>
    </row>
    <row r="172" spans="1:16" x14ac:dyDescent="0.3">
      <c r="A172" s="1" t="s">
        <v>16</v>
      </c>
      <c r="B172" s="1" t="s">
        <v>159</v>
      </c>
      <c r="C172" s="1" t="s">
        <v>491</v>
      </c>
      <c r="D172" s="1" t="s">
        <v>161</v>
      </c>
      <c r="E172" s="1" t="s">
        <v>65</v>
      </c>
      <c r="F172" s="1">
        <v>50802</v>
      </c>
      <c r="G172" s="1" t="s">
        <v>501</v>
      </c>
      <c r="H172" s="1" t="s">
        <v>502</v>
      </c>
      <c r="I172" s="1" t="s">
        <v>503</v>
      </c>
      <c r="J172" s="1" t="s">
        <v>32</v>
      </c>
      <c r="K172" s="1" t="s">
        <v>46</v>
      </c>
      <c r="L172" s="2">
        <v>47088</v>
      </c>
      <c r="M172" s="4">
        <v>2750000</v>
      </c>
      <c r="N172" s="1" t="s">
        <v>23</v>
      </c>
      <c r="O172" s="3">
        <v>69</v>
      </c>
    </row>
    <row r="173" spans="1:16" x14ac:dyDescent="0.3">
      <c r="A173" s="1" t="s">
        <v>16</v>
      </c>
      <c r="B173" s="1" t="s">
        <v>159</v>
      </c>
      <c r="C173" s="1" t="s">
        <v>491</v>
      </c>
      <c r="D173" s="1" t="s">
        <v>161</v>
      </c>
      <c r="E173" s="1" t="s">
        <v>65</v>
      </c>
      <c r="F173" s="1">
        <v>50803</v>
      </c>
      <c r="G173" s="1" t="s">
        <v>504</v>
      </c>
      <c r="H173" s="1" t="s">
        <v>505</v>
      </c>
      <c r="I173" s="1" t="s">
        <v>506</v>
      </c>
      <c r="J173" s="1" t="s">
        <v>32</v>
      </c>
      <c r="K173" s="1" t="s">
        <v>46</v>
      </c>
      <c r="L173" s="2">
        <v>47088</v>
      </c>
      <c r="M173" s="4">
        <v>4550000</v>
      </c>
      <c r="N173" s="1" t="s">
        <v>23</v>
      </c>
      <c r="O173" s="3">
        <v>69</v>
      </c>
    </row>
    <row r="174" spans="1:16" x14ac:dyDescent="0.3">
      <c r="A174" s="1" t="s">
        <v>16</v>
      </c>
      <c r="B174" s="1" t="s">
        <v>159</v>
      </c>
      <c r="C174" s="1" t="s">
        <v>491</v>
      </c>
      <c r="D174" s="1" t="s">
        <v>161</v>
      </c>
      <c r="E174" s="1" t="s">
        <v>65</v>
      </c>
      <c r="F174" s="1">
        <v>50804</v>
      </c>
      <c r="G174" s="1" t="s">
        <v>507</v>
      </c>
      <c r="H174" s="1" t="s">
        <v>508</v>
      </c>
      <c r="I174" s="1" t="s">
        <v>509</v>
      </c>
      <c r="J174" s="1" t="s">
        <v>32</v>
      </c>
      <c r="K174" s="1" t="s">
        <v>46</v>
      </c>
      <c r="L174" s="2">
        <v>47818</v>
      </c>
      <c r="M174" s="4">
        <v>3500000</v>
      </c>
      <c r="N174" s="1" t="s">
        <v>23</v>
      </c>
      <c r="O174" s="3">
        <v>69</v>
      </c>
    </row>
    <row r="175" spans="1:16" x14ac:dyDescent="0.3">
      <c r="A175" s="1" t="s">
        <v>16</v>
      </c>
      <c r="B175" s="1" t="s">
        <v>159</v>
      </c>
      <c r="C175" s="1" t="s">
        <v>491</v>
      </c>
      <c r="D175" s="1" t="s">
        <v>161</v>
      </c>
      <c r="E175" s="1" t="s">
        <v>65</v>
      </c>
      <c r="F175" s="1">
        <v>50805</v>
      </c>
      <c r="G175" s="1" t="s">
        <v>510</v>
      </c>
      <c r="H175" s="1" t="s">
        <v>511</v>
      </c>
      <c r="I175" s="1" t="s">
        <v>512</v>
      </c>
      <c r="J175" s="1" t="s">
        <v>32</v>
      </c>
      <c r="K175" s="1" t="s">
        <v>205</v>
      </c>
      <c r="L175" s="2">
        <v>47453</v>
      </c>
      <c r="M175" s="4">
        <v>10750000</v>
      </c>
      <c r="N175" s="1" t="s">
        <v>50</v>
      </c>
      <c r="O175" s="3">
        <v>138</v>
      </c>
      <c r="P175" s="3">
        <v>69</v>
      </c>
    </row>
    <row r="176" spans="1:16" x14ac:dyDescent="0.3">
      <c r="A176" s="1" t="s">
        <v>16</v>
      </c>
      <c r="B176" s="1" t="s">
        <v>159</v>
      </c>
      <c r="C176" s="1" t="s">
        <v>491</v>
      </c>
      <c r="D176" s="1" t="s">
        <v>161</v>
      </c>
      <c r="E176" s="1" t="s">
        <v>65</v>
      </c>
      <c r="F176" s="1">
        <v>50806</v>
      </c>
      <c r="G176" s="1" t="s">
        <v>513</v>
      </c>
      <c r="H176" s="1" t="s">
        <v>514</v>
      </c>
      <c r="I176" s="1" t="s">
        <v>515</v>
      </c>
      <c r="J176" s="1" t="s">
        <v>32</v>
      </c>
      <c r="K176" s="1" t="s">
        <v>33</v>
      </c>
      <c r="L176" s="2">
        <v>48549</v>
      </c>
      <c r="M176" s="4">
        <v>5700000</v>
      </c>
      <c r="N176" s="1" t="s">
        <v>23</v>
      </c>
      <c r="O176" s="3">
        <v>69</v>
      </c>
    </row>
    <row r="177" spans="1:16" x14ac:dyDescent="0.3">
      <c r="A177" s="1" t="s">
        <v>16</v>
      </c>
      <c r="B177" s="1" t="s">
        <v>159</v>
      </c>
      <c r="C177" s="1" t="s">
        <v>491</v>
      </c>
      <c r="D177" s="1" t="s">
        <v>161</v>
      </c>
      <c r="E177" s="1" t="s">
        <v>65</v>
      </c>
      <c r="F177" s="1">
        <v>50807</v>
      </c>
      <c r="G177" s="1" t="s">
        <v>516</v>
      </c>
      <c r="H177" s="1" t="s">
        <v>517</v>
      </c>
      <c r="I177" s="1" t="s">
        <v>518</v>
      </c>
      <c r="J177" s="1" t="s">
        <v>32</v>
      </c>
      <c r="K177" s="1" t="s">
        <v>33</v>
      </c>
      <c r="L177" s="2">
        <v>48549</v>
      </c>
      <c r="M177" s="4">
        <v>1300000</v>
      </c>
      <c r="N177" s="1" t="s">
        <v>23</v>
      </c>
      <c r="O177" s="3">
        <v>69</v>
      </c>
    </row>
    <row r="178" spans="1:16" x14ac:dyDescent="0.3">
      <c r="A178" s="1" t="s">
        <v>16</v>
      </c>
      <c r="B178" s="1" t="s">
        <v>159</v>
      </c>
      <c r="C178" s="1" t="s">
        <v>491</v>
      </c>
      <c r="D178" s="1" t="s">
        <v>161</v>
      </c>
      <c r="E178" s="1" t="s">
        <v>65</v>
      </c>
      <c r="F178" s="1">
        <v>50808</v>
      </c>
      <c r="G178" s="1" t="s">
        <v>519</v>
      </c>
      <c r="H178" s="1" t="s">
        <v>520</v>
      </c>
      <c r="I178" s="1" t="s">
        <v>521</v>
      </c>
      <c r="J178" s="1" t="s">
        <v>32</v>
      </c>
      <c r="K178" s="1" t="s">
        <v>33</v>
      </c>
      <c r="L178" s="2">
        <v>48549</v>
      </c>
      <c r="M178" s="4">
        <v>9750000</v>
      </c>
      <c r="N178" s="1" t="s">
        <v>23</v>
      </c>
      <c r="O178" s="3">
        <v>69</v>
      </c>
    </row>
    <row r="179" spans="1:16" x14ac:dyDescent="0.3">
      <c r="A179" s="1" t="s">
        <v>16</v>
      </c>
      <c r="B179" s="1" t="s">
        <v>159</v>
      </c>
      <c r="C179" s="1" t="s">
        <v>491</v>
      </c>
      <c r="D179" s="1" t="s">
        <v>161</v>
      </c>
      <c r="E179" s="1" t="s">
        <v>65</v>
      </c>
      <c r="F179" s="1">
        <v>50809</v>
      </c>
      <c r="G179" s="1" t="s">
        <v>522</v>
      </c>
      <c r="H179" s="1" t="s">
        <v>523</v>
      </c>
      <c r="I179" s="1" t="s">
        <v>506</v>
      </c>
      <c r="J179" s="1" t="s">
        <v>32</v>
      </c>
      <c r="K179" s="1" t="s">
        <v>46</v>
      </c>
      <c r="L179" s="2">
        <v>47818</v>
      </c>
      <c r="M179" s="4">
        <v>10000000</v>
      </c>
      <c r="N179" s="1" t="s">
        <v>50</v>
      </c>
      <c r="O179" s="3">
        <v>69</v>
      </c>
    </row>
    <row r="180" spans="1:16" x14ac:dyDescent="0.3">
      <c r="A180" s="1" t="s">
        <v>16</v>
      </c>
      <c r="B180" s="1" t="s">
        <v>159</v>
      </c>
      <c r="C180" s="1" t="s">
        <v>491</v>
      </c>
      <c r="D180" s="1" t="s">
        <v>161</v>
      </c>
      <c r="E180" s="1" t="s">
        <v>65</v>
      </c>
      <c r="F180" s="1">
        <v>50810</v>
      </c>
      <c r="G180" s="1" t="s">
        <v>524</v>
      </c>
      <c r="H180" s="1" t="s">
        <v>525</v>
      </c>
      <c r="I180" s="1" t="s">
        <v>526</v>
      </c>
      <c r="J180" s="1" t="s">
        <v>32</v>
      </c>
      <c r="K180" s="1" t="s">
        <v>46</v>
      </c>
      <c r="L180" s="2">
        <v>48914</v>
      </c>
      <c r="M180" s="4">
        <v>19300000</v>
      </c>
      <c r="N180" s="1" t="s">
        <v>23</v>
      </c>
      <c r="O180" s="3">
        <v>69</v>
      </c>
    </row>
    <row r="181" spans="1:16" x14ac:dyDescent="0.3">
      <c r="A181" s="1" t="s">
        <v>16</v>
      </c>
      <c r="B181" s="1" t="s">
        <v>159</v>
      </c>
      <c r="C181" s="1" t="s">
        <v>491</v>
      </c>
      <c r="D181" s="1" t="s">
        <v>161</v>
      </c>
      <c r="E181" s="1" t="s">
        <v>65</v>
      </c>
      <c r="F181" s="1">
        <v>50811</v>
      </c>
      <c r="G181" s="1" t="s">
        <v>527</v>
      </c>
      <c r="H181" s="1" t="s">
        <v>528</v>
      </c>
      <c r="I181" s="1" t="s">
        <v>529</v>
      </c>
      <c r="J181" s="1" t="s">
        <v>32</v>
      </c>
      <c r="K181" s="1" t="s">
        <v>33</v>
      </c>
      <c r="L181" s="2">
        <v>48914</v>
      </c>
      <c r="M181" s="4">
        <v>4830000</v>
      </c>
      <c r="N181" s="1" t="s">
        <v>23</v>
      </c>
      <c r="O181" s="3">
        <v>69</v>
      </c>
    </row>
    <row r="182" spans="1:16" x14ac:dyDescent="0.3">
      <c r="A182" s="1" t="s">
        <v>16</v>
      </c>
      <c r="B182" s="1" t="s">
        <v>159</v>
      </c>
      <c r="C182" s="1" t="s">
        <v>27</v>
      </c>
      <c r="D182" s="1" t="s">
        <v>161</v>
      </c>
      <c r="E182" s="1" t="s">
        <v>28</v>
      </c>
      <c r="F182" s="1">
        <v>50812</v>
      </c>
      <c r="G182" s="1" t="s">
        <v>530</v>
      </c>
      <c r="H182" s="1" t="s">
        <v>531</v>
      </c>
      <c r="I182" s="1" t="s">
        <v>532</v>
      </c>
      <c r="J182" s="1" t="s">
        <v>32</v>
      </c>
      <c r="K182" s="1" t="s">
        <v>46</v>
      </c>
      <c r="L182" s="2">
        <v>46752</v>
      </c>
      <c r="M182" s="4">
        <v>7500000</v>
      </c>
      <c r="N182" s="1" t="s">
        <v>23</v>
      </c>
      <c r="O182" s="3">
        <v>69</v>
      </c>
    </row>
    <row r="183" spans="1:16" x14ac:dyDescent="0.3">
      <c r="A183" s="1" t="s">
        <v>16</v>
      </c>
      <c r="B183" s="1" t="s">
        <v>159</v>
      </c>
      <c r="C183" s="1" t="s">
        <v>27</v>
      </c>
      <c r="D183" s="1" t="s">
        <v>161</v>
      </c>
      <c r="E183" s="1" t="s">
        <v>28</v>
      </c>
      <c r="F183" s="1">
        <v>50813</v>
      </c>
      <c r="G183" s="1" t="s">
        <v>533</v>
      </c>
      <c r="H183" s="1" t="s">
        <v>534</v>
      </c>
      <c r="I183" s="1" t="s">
        <v>535</v>
      </c>
      <c r="J183" s="1" t="s">
        <v>32</v>
      </c>
      <c r="K183" s="1" t="s">
        <v>33</v>
      </c>
      <c r="L183" s="2">
        <v>47118</v>
      </c>
      <c r="M183" s="4">
        <v>6200000</v>
      </c>
      <c r="N183" s="1" t="s">
        <v>23</v>
      </c>
      <c r="O183" s="3">
        <v>138</v>
      </c>
    </row>
    <row r="184" spans="1:16" x14ac:dyDescent="0.3">
      <c r="A184" s="1" t="s">
        <v>16</v>
      </c>
      <c r="B184" s="1" t="s">
        <v>159</v>
      </c>
      <c r="C184" s="1" t="s">
        <v>27</v>
      </c>
      <c r="D184" s="1" t="s">
        <v>161</v>
      </c>
      <c r="E184" s="1" t="s">
        <v>28</v>
      </c>
      <c r="F184" s="1">
        <v>50814</v>
      </c>
      <c r="G184" s="1" t="s">
        <v>536</v>
      </c>
      <c r="H184" s="1" t="s">
        <v>537</v>
      </c>
      <c r="I184" s="1" t="s">
        <v>538</v>
      </c>
      <c r="J184" s="1" t="s">
        <v>32</v>
      </c>
      <c r="K184" s="1" t="s">
        <v>33</v>
      </c>
      <c r="L184" s="2">
        <v>47483</v>
      </c>
      <c r="M184" s="4">
        <v>2300000</v>
      </c>
      <c r="N184" s="1" t="s">
        <v>23</v>
      </c>
      <c r="O184" s="3">
        <v>69</v>
      </c>
    </row>
    <row r="185" spans="1:16" x14ac:dyDescent="0.3">
      <c r="A185" s="1" t="s">
        <v>16</v>
      </c>
      <c r="B185" s="1" t="s">
        <v>159</v>
      </c>
      <c r="C185" s="1" t="s">
        <v>41</v>
      </c>
      <c r="D185" s="1" t="s">
        <v>164</v>
      </c>
      <c r="E185" s="1" t="s">
        <v>56</v>
      </c>
      <c r="F185" s="1">
        <v>50815</v>
      </c>
      <c r="G185" s="1" t="s">
        <v>539</v>
      </c>
      <c r="H185" s="1" t="s">
        <v>540</v>
      </c>
      <c r="I185" s="1" t="s">
        <v>541</v>
      </c>
      <c r="J185" s="1" t="s">
        <v>32</v>
      </c>
      <c r="K185" s="1" t="s">
        <v>46</v>
      </c>
      <c r="L185" s="2">
        <v>47118</v>
      </c>
      <c r="M185" s="4">
        <v>25000000</v>
      </c>
      <c r="N185" s="1" t="s">
        <v>23</v>
      </c>
      <c r="O185" s="3">
        <v>115</v>
      </c>
    </row>
    <row r="186" spans="1:16" x14ac:dyDescent="0.3">
      <c r="A186" s="1" t="s">
        <v>16</v>
      </c>
      <c r="B186" s="1" t="s">
        <v>159</v>
      </c>
      <c r="C186" s="1" t="s">
        <v>41</v>
      </c>
      <c r="D186" s="1" t="s">
        <v>164</v>
      </c>
      <c r="E186" s="1" t="s">
        <v>56</v>
      </c>
      <c r="F186" s="1">
        <v>50816</v>
      </c>
      <c r="G186" s="1" t="s">
        <v>542</v>
      </c>
      <c r="H186" s="1" t="s">
        <v>543</v>
      </c>
      <c r="I186" s="1" t="s">
        <v>544</v>
      </c>
      <c r="J186" s="1" t="s">
        <v>32</v>
      </c>
      <c r="K186" s="1" t="s">
        <v>33</v>
      </c>
      <c r="L186" s="2">
        <v>47406</v>
      </c>
      <c r="M186" s="4">
        <v>6500000</v>
      </c>
      <c r="N186" s="1" t="s">
        <v>23</v>
      </c>
      <c r="O186" s="3">
        <v>69</v>
      </c>
      <c r="P186" s="3">
        <v>24</v>
      </c>
    </row>
    <row r="187" spans="1:16" x14ac:dyDescent="0.3">
      <c r="A187" s="1" t="s">
        <v>16</v>
      </c>
      <c r="B187" s="1" t="s">
        <v>159</v>
      </c>
      <c r="C187" s="1" t="s">
        <v>55</v>
      </c>
      <c r="D187" s="1" t="s">
        <v>164</v>
      </c>
      <c r="E187" s="1" t="s">
        <v>56</v>
      </c>
      <c r="F187" s="1">
        <v>50817</v>
      </c>
      <c r="G187" s="1" t="s">
        <v>545</v>
      </c>
      <c r="H187" s="1" t="s">
        <v>546</v>
      </c>
      <c r="I187" s="1" t="s">
        <v>547</v>
      </c>
      <c r="J187" s="1" t="s">
        <v>32</v>
      </c>
      <c r="K187" s="1" t="s">
        <v>33</v>
      </c>
      <c r="L187" s="2">
        <v>46752</v>
      </c>
      <c r="M187" s="4">
        <v>800000</v>
      </c>
      <c r="N187" s="1" t="s">
        <v>23</v>
      </c>
      <c r="O187" s="3">
        <v>115</v>
      </c>
    </row>
    <row r="188" spans="1:16" x14ac:dyDescent="0.3">
      <c r="A188" s="1" t="s">
        <v>16</v>
      </c>
      <c r="B188" s="1" t="s">
        <v>159</v>
      </c>
      <c r="C188" s="1" t="s">
        <v>27</v>
      </c>
      <c r="D188" s="1" t="s">
        <v>161</v>
      </c>
      <c r="E188" s="1" t="s">
        <v>28</v>
      </c>
      <c r="F188" s="1">
        <v>50818</v>
      </c>
      <c r="G188" s="1" t="s">
        <v>548</v>
      </c>
      <c r="H188" s="1" t="s">
        <v>549</v>
      </c>
      <c r="I188" s="1" t="s">
        <v>550</v>
      </c>
      <c r="J188" s="1" t="s">
        <v>32</v>
      </c>
      <c r="K188" s="1" t="s">
        <v>82</v>
      </c>
      <c r="L188" s="2">
        <v>46752</v>
      </c>
      <c r="M188" s="4">
        <v>1400000</v>
      </c>
      <c r="N188" s="1" t="s">
        <v>23</v>
      </c>
      <c r="O188" s="3">
        <v>69</v>
      </c>
    </row>
    <row r="189" spans="1:16" x14ac:dyDescent="0.3">
      <c r="A189" s="1" t="s">
        <v>16</v>
      </c>
      <c r="B189" s="1" t="s">
        <v>159</v>
      </c>
      <c r="C189" s="1" t="s">
        <v>41</v>
      </c>
      <c r="D189" s="1" t="s">
        <v>164</v>
      </c>
      <c r="E189" s="1" t="s">
        <v>56</v>
      </c>
      <c r="F189" s="1">
        <v>50819</v>
      </c>
      <c r="G189" s="1" t="s">
        <v>551</v>
      </c>
      <c r="H189" s="1" t="s">
        <v>552</v>
      </c>
      <c r="I189" s="1" t="s">
        <v>553</v>
      </c>
      <c r="J189" s="1" t="s">
        <v>32</v>
      </c>
      <c r="K189" s="1" t="s">
        <v>46</v>
      </c>
      <c r="L189" s="2">
        <v>47453</v>
      </c>
      <c r="M189" s="4">
        <v>1100000</v>
      </c>
      <c r="N189" s="1" t="s">
        <v>23</v>
      </c>
      <c r="O189" s="3">
        <v>115</v>
      </c>
    </row>
    <row r="190" spans="1:16" x14ac:dyDescent="0.3">
      <c r="A190" s="1" t="s">
        <v>16</v>
      </c>
      <c r="B190" s="1" t="s">
        <v>159</v>
      </c>
      <c r="C190" s="1" t="s">
        <v>41</v>
      </c>
      <c r="D190" s="1" t="s">
        <v>164</v>
      </c>
      <c r="E190" s="1" t="s">
        <v>56</v>
      </c>
      <c r="F190" s="1">
        <v>50820</v>
      </c>
      <c r="G190" s="1" t="s">
        <v>554</v>
      </c>
      <c r="H190" s="1" t="s">
        <v>555</v>
      </c>
      <c r="I190" s="1" t="s">
        <v>556</v>
      </c>
      <c r="J190" s="1" t="s">
        <v>32</v>
      </c>
      <c r="K190" s="1" t="s">
        <v>46</v>
      </c>
      <c r="L190" s="2">
        <v>47483</v>
      </c>
      <c r="M190" s="4">
        <v>2000000</v>
      </c>
      <c r="N190" s="1" t="s">
        <v>23</v>
      </c>
      <c r="O190" s="3">
        <v>115</v>
      </c>
    </row>
    <row r="191" spans="1:16" x14ac:dyDescent="0.3">
      <c r="A191" s="1" t="s">
        <v>16</v>
      </c>
      <c r="B191" s="1" t="s">
        <v>159</v>
      </c>
      <c r="C191" s="1" t="s">
        <v>41</v>
      </c>
      <c r="D191" s="1" t="s">
        <v>164</v>
      </c>
      <c r="E191" s="1" t="s">
        <v>56</v>
      </c>
      <c r="F191" s="1">
        <v>50821</v>
      </c>
      <c r="G191" s="1" t="s">
        <v>557</v>
      </c>
      <c r="H191" s="1" t="s">
        <v>558</v>
      </c>
      <c r="I191" s="1" t="s">
        <v>559</v>
      </c>
      <c r="J191" s="1" t="s">
        <v>32</v>
      </c>
      <c r="K191" s="1" t="s">
        <v>46</v>
      </c>
      <c r="L191" s="2">
        <v>47483</v>
      </c>
      <c r="M191" s="4">
        <v>3500000</v>
      </c>
      <c r="N191" s="1" t="s">
        <v>23</v>
      </c>
      <c r="O191" s="3">
        <v>115</v>
      </c>
    </row>
    <row r="192" spans="1:16" x14ac:dyDescent="0.3">
      <c r="A192" s="1" t="s">
        <v>16</v>
      </c>
      <c r="B192" s="1" t="s">
        <v>159</v>
      </c>
      <c r="C192" s="1" t="s">
        <v>27</v>
      </c>
      <c r="D192" s="1" t="s">
        <v>161</v>
      </c>
      <c r="E192" s="1" t="s">
        <v>28</v>
      </c>
      <c r="F192" s="1">
        <v>50822</v>
      </c>
      <c r="G192" s="1" t="s">
        <v>560</v>
      </c>
      <c r="H192" s="1" t="s">
        <v>561</v>
      </c>
      <c r="I192" s="1" t="s">
        <v>562</v>
      </c>
      <c r="J192" s="1" t="s">
        <v>32</v>
      </c>
      <c r="K192" s="1" t="s">
        <v>205</v>
      </c>
      <c r="L192" s="2">
        <v>46568</v>
      </c>
      <c r="M192" s="4">
        <v>6600000</v>
      </c>
      <c r="N192" s="1" t="s">
        <v>23</v>
      </c>
      <c r="O192" s="3">
        <v>69</v>
      </c>
    </row>
    <row r="193" spans="1:16" x14ac:dyDescent="0.3">
      <c r="A193" s="1" t="s">
        <v>16</v>
      </c>
      <c r="B193" s="1" t="s">
        <v>159</v>
      </c>
      <c r="C193" s="1" t="s">
        <v>41</v>
      </c>
      <c r="D193" s="1" t="s">
        <v>164</v>
      </c>
      <c r="E193" s="1" t="s">
        <v>56</v>
      </c>
      <c r="F193" s="1">
        <v>50823</v>
      </c>
      <c r="G193" s="1" t="s">
        <v>563</v>
      </c>
      <c r="H193" s="1" t="s">
        <v>564</v>
      </c>
      <c r="I193" s="1" t="s">
        <v>565</v>
      </c>
      <c r="J193" s="1" t="s">
        <v>32</v>
      </c>
      <c r="K193" s="1" t="s">
        <v>46</v>
      </c>
      <c r="L193" s="2">
        <v>47573</v>
      </c>
      <c r="M193" s="4">
        <v>11200000</v>
      </c>
      <c r="N193" s="1" t="s">
        <v>23</v>
      </c>
      <c r="O193" s="3">
        <v>69</v>
      </c>
      <c r="P193" s="3">
        <v>14</v>
      </c>
    </row>
    <row r="194" spans="1:16" x14ac:dyDescent="0.3">
      <c r="A194" s="1" t="s">
        <v>16</v>
      </c>
      <c r="B194" s="1" t="s">
        <v>159</v>
      </c>
      <c r="C194" s="1" t="s">
        <v>41</v>
      </c>
      <c r="D194" s="1" t="s">
        <v>164</v>
      </c>
      <c r="E194" s="1" t="s">
        <v>56</v>
      </c>
      <c r="F194" s="1">
        <v>50825</v>
      </c>
      <c r="G194" s="1" t="s">
        <v>566</v>
      </c>
      <c r="H194" s="1" t="s">
        <v>567</v>
      </c>
      <c r="I194" s="1" t="s">
        <v>568</v>
      </c>
      <c r="J194" s="1" t="s">
        <v>32</v>
      </c>
      <c r="K194" s="1" t="s">
        <v>46</v>
      </c>
      <c r="L194" s="2">
        <v>47818</v>
      </c>
      <c r="M194" s="4">
        <v>7000000</v>
      </c>
      <c r="N194" s="1" t="s">
        <v>23</v>
      </c>
      <c r="O194" s="3">
        <v>115</v>
      </c>
    </row>
    <row r="195" spans="1:16" x14ac:dyDescent="0.3">
      <c r="A195" s="1" t="s">
        <v>16</v>
      </c>
      <c r="B195" s="1" t="s">
        <v>159</v>
      </c>
      <c r="C195" s="1" t="s">
        <v>27</v>
      </c>
      <c r="D195" s="1" t="s">
        <v>161</v>
      </c>
      <c r="E195" s="1" t="s">
        <v>28</v>
      </c>
      <c r="F195" s="1">
        <v>50826</v>
      </c>
      <c r="G195" s="1" t="s">
        <v>569</v>
      </c>
      <c r="H195" s="1" t="s">
        <v>570</v>
      </c>
      <c r="I195" s="1" t="s">
        <v>571</v>
      </c>
      <c r="J195" s="1" t="s">
        <v>32</v>
      </c>
      <c r="K195" s="1" t="s">
        <v>205</v>
      </c>
      <c r="L195" s="2">
        <v>47118</v>
      </c>
      <c r="M195" s="4">
        <v>5500000</v>
      </c>
      <c r="N195" s="1" t="s">
        <v>23</v>
      </c>
      <c r="O195" s="3">
        <v>69</v>
      </c>
    </row>
    <row r="196" spans="1:16" x14ac:dyDescent="0.3">
      <c r="A196" s="1" t="s">
        <v>16</v>
      </c>
      <c r="B196" s="1" t="s">
        <v>159</v>
      </c>
      <c r="C196" s="1" t="s">
        <v>41</v>
      </c>
      <c r="D196" s="1" t="s">
        <v>164</v>
      </c>
      <c r="E196" s="1" t="s">
        <v>56</v>
      </c>
      <c r="F196" s="1">
        <v>50827</v>
      </c>
      <c r="G196" s="1" t="s">
        <v>572</v>
      </c>
      <c r="H196" s="1" t="s">
        <v>573</v>
      </c>
      <c r="I196" s="1" t="s">
        <v>574</v>
      </c>
      <c r="J196" s="1" t="s">
        <v>32</v>
      </c>
      <c r="K196" s="1" t="s">
        <v>46</v>
      </c>
      <c r="L196" s="2">
        <v>46794</v>
      </c>
      <c r="M196" s="4">
        <v>4000000</v>
      </c>
      <c r="N196" s="1" t="s">
        <v>23</v>
      </c>
      <c r="O196" s="3">
        <v>115</v>
      </c>
      <c r="P196" s="3">
        <v>69</v>
      </c>
    </row>
    <row r="197" spans="1:16" x14ac:dyDescent="0.3">
      <c r="A197" s="1" t="s">
        <v>16</v>
      </c>
      <c r="B197" s="1" t="s">
        <v>159</v>
      </c>
      <c r="C197" s="1" t="s">
        <v>27</v>
      </c>
      <c r="D197" s="1" t="s">
        <v>161</v>
      </c>
      <c r="E197" s="1" t="s">
        <v>28</v>
      </c>
      <c r="F197" s="1">
        <v>50828</v>
      </c>
      <c r="G197" s="1" t="s">
        <v>575</v>
      </c>
      <c r="H197" s="1" t="s">
        <v>576</v>
      </c>
      <c r="I197" s="1" t="s">
        <v>577</v>
      </c>
      <c r="J197" s="1" t="s">
        <v>32</v>
      </c>
      <c r="K197" s="1" t="s">
        <v>82</v>
      </c>
      <c r="L197" s="2">
        <v>47118</v>
      </c>
      <c r="M197" s="4">
        <v>11000000</v>
      </c>
      <c r="N197" s="1" t="s">
        <v>23</v>
      </c>
      <c r="O197" s="3">
        <v>138</v>
      </c>
    </row>
    <row r="198" spans="1:16" x14ac:dyDescent="0.3">
      <c r="A198" s="1" t="s">
        <v>16</v>
      </c>
      <c r="B198" s="1" t="s">
        <v>159</v>
      </c>
      <c r="C198" s="1" t="s">
        <v>27</v>
      </c>
      <c r="D198" s="1" t="s">
        <v>161</v>
      </c>
      <c r="E198" s="1" t="s">
        <v>28</v>
      </c>
      <c r="F198" s="1">
        <v>50829</v>
      </c>
      <c r="G198" s="1" t="s">
        <v>578</v>
      </c>
      <c r="H198" s="1" t="s">
        <v>579</v>
      </c>
      <c r="I198" s="1" t="s">
        <v>580</v>
      </c>
      <c r="J198" s="1" t="s">
        <v>32</v>
      </c>
      <c r="K198" s="1" t="s">
        <v>33</v>
      </c>
      <c r="L198" s="2">
        <v>47118</v>
      </c>
      <c r="M198" s="4">
        <v>5000000</v>
      </c>
      <c r="N198" s="1" t="s">
        <v>23</v>
      </c>
      <c r="O198" s="3">
        <v>138</v>
      </c>
    </row>
    <row r="199" spans="1:16" x14ac:dyDescent="0.3">
      <c r="A199" s="1" t="s">
        <v>16</v>
      </c>
      <c r="B199" s="1" t="s">
        <v>159</v>
      </c>
      <c r="C199" s="1" t="s">
        <v>27</v>
      </c>
      <c r="D199" s="1" t="s">
        <v>161</v>
      </c>
      <c r="E199" s="1" t="s">
        <v>28</v>
      </c>
      <c r="F199" s="1">
        <v>50830</v>
      </c>
      <c r="G199" s="1" t="s">
        <v>581</v>
      </c>
      <c r="H199" s="1" t="s">
        <v>582</v>
      </c>
      <c r="I199" s="1" t="s">
        <v>538</v>
      </c>
      <c r="J199" s="1" t="s">
        <v>32</v>
      </c>
      <c r="K199" s="1" t="s">
        <v>33</v>
      </c>
      <c r="L199" s="2">
        <v>47118</v>
      </c>
      <c r="M199" s="4">
        <v>5000000</v>
      </c>
      <c r="N199" s="1" t="s">
        <v>23</v>
      </c>
      <c r="O199" s="3">
        <v>69</v>
      </c>
    </row>
    <row r="200" spans="1:16" x14ac:dyDescent="0.3">
      <c r="A200" s="1" t="s">
        <v>16</v>
      </c>
      <c r="B200" s="1" t="s">
        <v>159</v>
      </c>
      <c r="C200" s="1" t="s">
        <v>41</v>
      </c>
      <c r="D200" s="1" t="s">
        <v>164</v>
      </c>
      <c r="E200" s="1" t="s">
        <v>42</v>
      </c>
      <c r="F200" s="1">
        <v>50831</v>
      </c>
      <c r="G200" s="1" t="s">
        <v>583</v>
      </c>
      <c r="H200" s="1" t="s">
        <v>584</v>
      </c>
      <c r="I200" s="1" t="s">
        <v>585</v>
      </c>
      <c r="J200" s="1" t="s">
        <v>32</v>
      </c>
      <c r="K200" s="1" t="s">
        <v>46</v>
      </c>
      <c r="L200" s="2">
        <v>47041</v>
      </c>
      <c r="M200" s="4">
        <v>6350000</v>
      </c>
      <c r="N200" s="1" t="s">
        <v>23</v>
      </c>
      <c r="O200" s="3">
        <v>115</v>
      </c>
      <c r="P200" s="3">
        <v>13</v>
      </c>
    </row>
    <row r="201" spans="1:16" x14ac:dyDescent="0.3">
      <c r="A201" s="1" t="s">
        <v>16</v>
      </c>
      <c r="B201" s="1" t="s">
        <v>159</v>
      </c>
      <c r="C201" s="1" t="s">
        <v>366</v>
      </c>
      <c r="D201" s="1" t="s">
        <v>164</v>
      </c>
      <c r="E201" s="1" t="s">
        <v>367</v>
      </c>
      <c r="F201" s="1">
        <v>50832</v>
      </c>
      <c r="G201" s="1" t="s">
        <v>586</v>
      </c>
      <c r="H201" s="1" t="s">
        <v>587</v>
      </c>
      <c r="I201" s="1" t="s">
        <v>588</v>
      </c>
      <c r="J201" s="1" t="s">
        <v>32</v>
      </c>
      <c r="K201" s="1" t="s">
        <v>205</v>
      </c>
      <c r="L201" s="2">
        <v>47239</v>
      </c>
      <c r="M201" s="4">
        <v>32000000</v>
      </c>
      <c r="N201" s="1" t="s">
        <v>23</v>
      </c>
      <c r="O201" s="3">
        <v>345</v>
      </c>
    </row>
    <row r="202" spans="1:16" x14ac:dyDescent="0.3">
      <c r="A202" s="1" t="s">
        <v>16</v>
      </c>
      <c r="B202" s="1" t="s">
        <v>159</v>
      </c>
      <c r="C202" s="1" t="s">
        <v>589</v>
      </c>
      <c r="D202" s="1" t="s">
        <v>161</v>
      </c>
      <c r="E202" s="1" t="s">
        <v>28</v>
      </c>
      <c r="F202" s="1">
        <v>50833</v>
      </c>
      <c r="G202" s="1" t="s">
        <v>590</v>
      </c>
      <c r="H202" s="1" t="s">
        <v>591</v>
      </c>
      <c r="I202" s="1" t="s">
        <v>592</v>
      </c>
      <c r="J202" s="1" t="s">
        <v>32</v>
      </c>
      <c r="K202" s="1" t="s">
        <v>205</v>
      </c>
      <c r="L202" s="2">
        <v>48183</v>
      </c>
      <c r="M202" s="4">
        <v>1000000</v>
      </c>
      <c r="N202" s="1" t="s">
        <v>23</v>
      </c>
      <c r="O202" s="3">
        <v>345</v>
      </c>
    </row>
    <row r="203" spans="1:16" x14ac:dyDescent="0.3">
      <c r="A203" s="1" t="s">
        <v>16</v>
      </c>
      <c r="B203" s="1" t="s">
        <v>159</v>
      </c>
      <c r="C203" s="1" t="s">
        <v>366</v>
      </c>
      <c r="D203" s="1" t="s">
        <v>164</v>
      </c>
      <c r="E203" s="1" t="s">
        <v>367</v>
      </c>
      <c r="F203" s="1">
        <v>50834</v>
      </c>
      <c r="G203" s="1" t="s">
        <v>593</v>
      </c>
      <c r="H203" s="1" t="s">
        <v>594</v>
      </c>
      <c r="I203" s="1" t="s">
        <v>595</v>
      </c>
      <c r="J203" s="1" t="s">
        <v>32</v>
      </c>
      <c r="K203" s="1" t="s">
        <v>82</v>
      </c>
      <c r="L203" s="2">
        <v>46722</v>
      </c>
      <c r="M203" s="4">
        <v>2000000</v>
      </c>
      <c r="N203" s="1" t="s">
        <v>23</v>
      </c>
      <c r="O203" s="3">
        <v>69</v>
      </c>
    </row>
    <row r="204" spans="1:16" x14ac:dyDescent="0.3">
      <c r="A204" s="1" t="s">
        <v>16</v>
      </c>
      <c r="B204" s="1" t="s">
        <v>159</v>
      </c>
      <c r="C204" s="1" t="s">
        <v>366</v>
      </c>
      <c r="D204" s="1" t="s">
        <v>164</v>
      </c>
      <c r="E204" s="1" t="s">
        <v>367</v>
      </c>
      <c r="F204" s="1">
        <v>50835</v>
      </c>
      <c r="G204" s="1" t="s">
        <v>596</v>
      </c>
      <c r="H204" s="1" t="s">
        <v>597</v>
      </c>
      <c r="I204" s="1" t="s">
        <v>598</v>
      </c>
      <c r="J204" s="1" t="s">
        <v>22</v>
      </c>
      <c r="L204" s="2">
        <v>46722</v>
      </c>
      <c r="M204" s="4">
        <v>500000</v>
      </c>
      <c r="N204" s="1" t="s">
        <v>23</v>
      </c>
      <c r="O204" s="3">
        <v>69</v>
      </c>
    </row>
    <row r="205" spans="1:16" x14ac:dyDescent="0.3">
      <c r="A205" s="1" t="s">
        <v>16</v>
      </c>
      <c r="B205" s="1" t="s">
        <v>159</v>
      </c>
      <c r="C205" s="1" t="s">
        <v>366</v>
      </c>
      <c r="D205" s="1" t="s">
        <v>164</v>
      </c>
      <c r="E205" s="1" t="s">
        <v>367</v>
      </c>
      <c r="F205" s="1">
        <v>50836</v>
      </c>
      <c r="G205" s="1" t="s">
        <v>599</v>
      </c>
      <c r="H205" s="1" t="s">
        <v>600</v>
      </c>
      <c r="I205" s="1" t="s">
        <v>601</v>
      </c>
      <c r="J205" s="1" t="s">
        <v>22</v>
      </c>
      <c r="L205" s="2">
        <v>47635</v>
      </c>
      <c r="M205" s="4">
        <v>300000</v>
      </c>
      <c r="N205" s="1" t="s">
        <v>23</v>
      </c>
      <c r="O205" s="3">
        <v>161</v>
      </c>
    </row>
    <row r="206" spans="1:16" x14ac:dyDescent="0.3">
      <c r="A206" s="1" t="s">
        <v>16</v>
      </c>
      <c r="B206" s="1" t="s">
        <v>159</v>
      </c>
      <c r="C206" s="1" t="s">
        <v>41</v>
      </c>
      <c r="D206" s="1" t="s">
        <v>164</v>
      </c>
      <c r="E206" s="1" t="s">
        <v>56</v>
      </c>
      <c r="F206" s="1">
        <v>50837</v>
      </c>
      <c r="G206" s="1" t="s">
        <v>602</v>
      </c>
      <c r="H206" s="1" t="s">
        <v>603</v>
      </c>
      <c r="I206" s="1" t="s">
        <v>604</v>
      </c>
      <c r="J206" s="1" t="s">
        <v>32</v>
      </c>
      <c r="K206" s="1" t="s">
        <v>33</v>
      </c>
      <c r="L206" s="2">
        <v>46722</v>
      </c>
      <c r="M206" s="4">
        <v>1000000</v>
      </c>
      <c r="N206" s="1" t="s">
        <v>23</v>
      </c>
      <c r="O206" s="3">
        <v>69</v>
      </c>
    </row>
    <row r="207" spans="1:16" x14ac:dyDescent="0.3">
      <c r="A207" s="1" t="s">
        <v>16</v>
      </c>
      <c r="B207" s="1" t="s">
        <v>159</v>
      </c>
      <c r="C207" s="1" t="s">
        <v>41</v>
      </c>
      <c r="D207" s="1" t="s">
        <v>164</v>
      </c>
      <c r="E207" s="1" t="s">
        <v>56</v>
      </c>
      <c r="F207" s="1">
        <v>50838</v>
      </c>
      <c r="G207" s="1" t="s">
        <v>605</v>
      </c>
      <c r="H207" s="1" t="s">
        <v>606</v>
      </c>
      <c r="I207" s="1" t="s">
        <v>607</v>
      </c>
      <c r="J207" s="1" t="s">
        <v>32</v>
      </c>
      <c r="K207" s="1" t="s">
        <v>33</v>
      </c>
      <c r="L207" s="2">
        <v>47483</v>
      </c>
      <c r="M207" s="4">
        <v>10000000</v>
      </c>
      <c r="N207" s="1" t="s">
        <v>23</v>
      </c>
      <c r="O207" s="3">
        <v>115</v>
      </c>
      <c r="P207" s="3">
        <v>14</v>
      </c>
    </row>
    <row r="208" spans="1:16" x14ac:dyDescent="0.3">
      <c r="A208" s="1" t="s">
        <v>16</v>
      </c>
      <c r="B208" s="1" t="s">
        <v>159</v>
      </c>
      <c r="C208" s="1" t="s">
        <v>17</v>
      </c>
      <c r="D208" s="1" t="s">
        <v>162</v>
      </c>
      <c r="E208" s="1" t="s">
        <v>18</v>
      </c>
      <c r="F208" s="1">
        <v>50839</v>
      </c>
      <c r="G208" s="1" t="s">
        <v>608</v>
      </c>
      <c r="H208" s="1" t="s">
        <v>609</v>
      </c>
      <c r="I208" s="1" t="s">
        <v>610</v>
      </c>
      <c r="J208" s="1" t="s">
        <v>22</v>
      </c>
      <c r="L208" s="2">
        <v>48000</v>
      </c>
      <c r="M208" s="4">
        <v>17120000</v>
      </c>
      <c r="N208" s="1" t="s">
        <v>23</v>
      </c>
      <c r="O208" s="3">
        <v>230</v>
      </c>
    </row>
    <row r="209" spans="1:16" x14ac:dyDescent="0.3">
      <c r="A209" s="1" t="s">
        <v>16</v>
      </c>
      <c r="B209" s="1" t="s">
        <v>159</v>
      </c>
      <c r="C209" s="1" t="s">
        <v>41</v>
      </c>
      <c r="D209" s="1" t="s">
        <v>164</v>
      </c>
      <c r="E209" s="1" t="s">
        <v>56</v>
      </c>
      <c r="F209" s="1">
        <v>50840</v>
      </c>
      <c r="G209" s="1" t="s">
        <v>611</v>
      </c>
      <c r="H209" s="1" t="s">
        <v>612</v>
      </c>
      <c r="I209" s="1" t="s">
        <v>613</v>
      </c>
      <c r="J209" s="1" t="s">
        <v>32</v>
      </c>
      <c r="K209" s="1" t="s">
        <v>46</v>
      </c>
      <c r="L209" s="2">
        <v>47207</v>
      </c>
      <c r="M209" s="4">
        <v>8200000</v>
      </c>
      <c r="N209" s="1" t="s">
        <v>23</v>
      </c>
      <c r="O209" s="3">
        <v>69</v>
      </c>
      <c r="P209" s="3">
        <v>24</v>
      </c>
    </row>
    <row r="210" spans="1:16" x14ac:dyDescent="0.3">
      <c r="A210" s="1" t="s">
        <v>16</v>
      </c>
      <c r="B210" s="1" t="s">
        <v>159</v>
      </c>
      <c r="C210" s="1" t="s">
        <v>17</v>
      </c>
      <c r="D210" s="1" t="s">
        <v>162</v>
      </c>
      <c r="E210" s="1" t="s">
        <v>18</v>
      </c>
      <c r="F210" s="1">
        <v>50841</v>
      </c>
      <c r="G210" s="1" t="s">
        <v>614</v>
      </c>
      <c r="H210" s="1" t="s">
        <v>615</v>
      </c>
      <c r="I210" s="1" t="s">
        <v>616</v>
      </c>
      <c r="J210" s="1" t="s">
        <v>22</v>
      </c>
      <c r="L210" s="2">
        <v>48000</v>
      </c>
      <c r="M210" s="4">
        <v>30974000</v>
      </c>
      <c r="N210" s="1" t="s">
        <v>23</v>
      </c>
      <c r="O210" s="3">
        <v>230</v>
      </c>
    </row>
    <row r="211" spans="1:16" x14ac:dyDescent="0.3">
      <c r="A211" s="1" t="s">
        <v>16</v>
      </c>
      <c r="B211" s="1" t="s">
        <v>159</v>
      </c>
      <c r="C211" s="1" t="s">
        <v>17</v>
      </c>
      <c r="D211" s="1" t="s">
        <v>162</v>
      </c>
      <c r="E211" s="1" t="s">
        <v>18</v>
      </c>
      <c r="F211" s="1">
        <v>50842</v>
      </c>
      <c r="G211" s="1" t="s">
        <v>617</v>
      </c>
      <c r="H211" s="1" t="s">
        <v>618</v>
      </c>
      <c r="I211" s="1" t="s">
        <v>619</v>
      </c>
      <c r="J211" s="1" t="s">
        <v>32</v>
      </c>
      <c r="K211" s="1" t="s">
        <v>33</v>
      </c>
      <c r="L211" s="2">
        <v>47635</v>
      </c>
      <c r="M211" s="4">
        <v>9800000</v>
      </c>
      <c r="N211" s="1" t="s">
        <v>23</v>
      </c>
      <c r="O211" s="3">
        <v>230</v>
      </c>
    </row>
    <row r="212" spans="1:16" x14ac:dyDescent="0.3">
      <c r="A212" s="1" t="s">
        <v>16</v>
      </c>
      <c r="B212" s="1" t="s">
        <v>159</v>
      </c>
      <c r="C212" s="1" t="s">
        <v>41</v>
      </c>
      <c r="D212" s="1" t="s">
        <v>164</v>
      </c>
      <c r="E212" s="1" t="s">
        <v>42</v>
      </c>
      <c r="F212" s="1">
        <v>50843</v>
      </c>
      <c r="G212" s="1" t="s">
        <v>620</v>
      </c>
      <c r="H212" s="1" t="s">
        <v>621</v>
      </c>
      <c r="I212" s="1" t="s">
        <v>622</v>
      </c>
      <c r="J212" s="1" t="s">
        <v>32</v>
      </c>
      <c r="K212" s="1" t="s">
        <v>33</v>
      </c>
      <c r="L212" s="2">
        <v>46811</v>
      </c>
      <c r="M212" s="4">
        <v>7300000</v>
      </c>
      <c r="N212" s="1" t="s">
        <v>23</v>
      </c>
      <c r="O212" s="3">
        <v>69</v>
      </c>
      <c r="P212" s="3">
        <v>13</v>
      </c>
    </row>
    <row r="213" spans="1:16" x14ac:dyDescent="0.3">
      <c r="A213" s="1" t="s">
        <v>16</v>
      </c>
      <c r="B213" s="1" t="s">
        <v>159</v>
      </c>
      <c r="C213" s="1" t="s">
        <v>17</v>
      </c>
      <c r="D213" s="1" t="s">
        <v>162</v>
      </c>
      <c r="E213" s="1" t="s">
        <v>18</v>
      </c>
      <c r="F213" s="1">
        <v>50844</v>
      </c>
      <c r="G213" s="1" t="s">
        <v>623</v>
      </c>
      <c r="H213" s="1" t="s">
        <v>624</v>
      </c>
      <c r="I213" s="1" t="s">
        <v>625</v>
      </c>
      <c r="J213" s="1" t="s">
        <v>32</v>
      </c>
      <c r="K213" s="1" t="s">
        <v>33</v>
      </c>
      <c r="L213" s="2">
        <v>47635</v>
      </c>
      <c r="M213" s="4">
        <v>16160000</v>
      </c>
      <c r="N213" s="1" t="s">
        <v>23</v>
      </c>
      <c r="O213" s="3">
        <v>345</v>
      </c>
    </row>
    <row r="214" spans="1:16" x14ac:dyDescent="0.3">
      <c r="A214" s="1" t="s">
        <v>16</v>
      </c>
      <c r="B214" s="1" t="s">
        <v>159</v>
      </c>
      <c r="C214" s="1" t="s">
        <v>41</v>
      </c>
      <c r="D214" s="1" t="s">
        <v>164</v>
      </c>
      <c r="E214" s="1" t="s">
        <v>56</v>
      </c>
      <c r="F214" s="1">
        <v>50845</v>
      </c>
      <c r="G214" s="1" t="s">
        <v>626</v>
      </c>
      <c r="H214" s="1" t="s">
        <v>627</v>
      </c>
      <c r="I214" s="1" t="s">
        <v>628</v>
      </c>
      <c r="J214" s="1" t="s">
        <v>32</v>
      </c>
      <c r="K214" s="1" t="s">
        <v>33</v>
      </c>
      <c r="L214" s="2">
        <v>47209</v>
      </c>
      <c r="M214" s="4">
        <v>35525000</v>
      </c>
      <c r="N214" s="1" t="s">
        <v>23</v>
      </c>
      <c r="O214" s="3">
        <v>115</v>
      </c>
    </row>
    <row r="215" spans="1:16" x14ac:dyDescent="0.3">
      <c r="A215" s="1" t="s">
        <v>16</v>
      </c>
      <c r="B215" s="1" t="s">
        <v>159</v>
      </c>
      <c r="C215" s="1" t="s">
        <v>41</v>
      </c>
      <c r="D215" s="1" t="s">
        <v>164</v>
      </c>
      <c r="E215" s="1" t="s">
        <v>56</v>
      </c>
      <c r="F215" s="1">
        <v>50846</v>
      </c>
      <c r="G215" s="1" t="s">
        <v>629</v>
      </c>
      <c r="H215" s="1" t="s">
        <v>630</v>
      </c>
      <c r="I215" s="1" t="s">
        <v>631</v>
      </c>
      <c r="J215" s="1" t="s">
        <v>32</v>
      </c>
      <c r="K215" s="1" t="s">
        <v>46</v>
      </c>
      <c r="L215" s="2">
        <v>47118</v>
      </c>
      <c r="M215" s="4">
        <v>93200000</v>
      </c>
      <c r="N215" s="1" t="s">
        <v>23</v>
      </c>
      <c r="O215" s="3">
        <v>115</v>
      </c>
    </row>
    <row r="216" spans="1:16" x14ac:dyDescent="0.3">
      <c r="A216" s="1" t="s">
        <v>16</v>
      </c>
      <c r="B216" s="1" t="s">
        <v>159</v>
      </c>
      <c r="C216" s="1" t="s">
        <v>232</v>
      </c>
      <c r="D216" s="1" t="s">
        <v>161</v>
      </c>
      <c r="E216" s="1" t="s">
        <v>28</v>
      </c>
      <c r="F216" s="1">
        <v>50847</v>
      </c>
      <c r="G216" s="1" t="s">
        <v>632</v>
      </c>
      <c r="H216" s="1" t="s">
        <v>633</v>
      </c>
      <c r="I216" s="1" t="s">
        <v>634</v>
      </c>
      <c r="J216" s="1" t="s">
        <v>32</v>
      </c>
      <c r="K216" s="1" t="s">
        <v>205</v>
      </c>
      <c r="L216" s="2">
        <v>46826</v>
      </c>
      <c r="M216" s="4">
        <v>730000</v>
      </c>
      <c r="N216" s="1" t="s">
        <v>23</v>
      </c>
      <c r="O216" s="3">
        <v>69</v>
      </c>
      <c r="P216" s="3">
        <v>12</v>
      </c>
    </row>
    <row r="217" spans="1:16" x14ac:dyDescent="0.3">
      <c r="A217" s="1" t="s">
        <v>16</v>
      </c>
      <c r="B217" s="1" t="s">
        <v>159</v>
      </c>
      <c r="C217" s="1" t="s">
        <v>17</v>
      </c>
      <c r="D217" s="1" t="s">
        <v>162</v>
      </c>
      <c r="E217" s="1" t="s">
        <v>18</v>
      </c>
      <c r="F217" s="1">
        <v>50848</v>
      </c>
      <c r="G217" s="1" t="s">
        <v>635</v>
      </c>
      <c r="H217" s="1" t="s">
        <v>636</v>
      </c>
      <c r="I217" s="1" t="s">
        <v>637</v>
      </c>
      <c r="J217" s="1" t="s">
        <v>32</v>
      </c>
      <c r="K217" s="1" t="s">
        <v>33</v>
      </c>
      <c r="L217" s="2">
        <v>47635</v>
      </c>
      <c r="M217" s="4">
        <v>13780000</v>
      </c>
      <c r="N217" s="1" t="s">
        <v>23</v>
      </c>
      <c r="O217" s="3">
        <v>345</v>
      </c>
    </row>
    <row r="218" spans="1:16" x14ac:dyDescent="0.3">
      <c r="A218" s="1" t="s">
        <v>16</v>
      </c>
      <c r="B218" s="1" t="s">
        <v>159</v>
      </c>
      <c r="C218" s="1" t="s">
        <v>17</v>
      </c>
      <c r="D218" s="1" t="s">
        <v>162</v>
      </c>
      <c r="E218" s="1" t="s">
        <v>18</v>
      </c>
      <c r="F218" s="1">
        <v>50849</v>
      </c>
      <c r="G218" s="1" t="s">
        <v>638</v>
      </c>
      <c r="H218" s="1" t="s">
        <v>639</v>
      </c>
      <c r="I218" s="1" t="s">
        <v>640</v>
      </c>
      <c r="J218" s="1" t="s">
        <v>32</v>
      </c>
      <c r="K218" s="1" t="s">
        <v>33</v>
      </c>
      <c r="L218" s="2">
        <v>47467</v>
      </c>
      <c r="M218" s="4">
        <v>11875000</v>
      </c>
      <c r="N218" s="1" t="s">
        <v>23</v>
      </c>
      <c r="O218" s="3">
        <v>120</v>
      </c>
    </row>
    <row r="219" spans="1:16" x14ac:dyDescent="0.3">
      <c r="A219" s="1" t="s">
        <v>16</v>
      </c>
      <c r="B219" s="1" t="s">
        <v>159</v>
      </c>
      <c r="C219" s="1" t="s">
        <v>232</v>
      </c>
      <c r="D219" s="1" t="s">
        <v>161</v>
      </c>
      <c r="E219" s="1" t="s">
        <v>28</v>
      </c>
      <c r="F219" s="1">
        <v>50850</v>
      </c>
      <c r="G219" s="1" t="s">
        <v>641</v>
      </c>
      <c r="H219" s="1" t="s">
        <v>642</v>
      </c>
      <c r="I219" s="1" t="s">
        <v>643</v>
      </c>
      <c r="J219" s="1" t="s">
        <v>32</v>
      </c>
      <c r="K219" s="1" t="s">
        <v>46</v>
      </c>
      <c r="L219" s="2">
        <v>46447</v>
      </c>
      <c r="M219" s="4">
        <v>7518906</v>
      </c>
      <c r="N219" s="1" t="s">
        <v>23</v>
      </c>
      <c r="O219" s="3">
        <v>69</v>
      </c>
    </row>
    <row r="220" spans="1:16" x14ac:dyDescent="0.3">
      <c r="A220" s="1" t="s">
        <v>16</v>
      </c>
      <c r="B220" s="1" t="s">
        <v>159</v>
      </c>
      <c r="C220" s="1" t="s">
        <v>17</v>
      </c>
      <c r="D220" s="1" t="s">
        <v>162</v>
      </c>
      <c r="E220" s="1" t="s">
        <v>18</v>
      </c>
      <c r="F220" s="1">
        <v>50851</v>
      </c>
      <c r="G220" s="1" t="s">
        <v>644</v>
      </c>
      <c r="H220" s="1" t="s">
        <v>645</v>
      </c>
      <c r="I220" s="1" t="s">
        <v>646</v>
      </c>
      <c r="J220" s="1" t="s">
        <v>32</v>
      </c>
      <c r="K220" s="1" t="s">
        <v>33</v>
      </c>
      <c r="L220" s="2">
        <v>48366</v>
      </c>
      <c r="M220" s="4">
        <v>19015000</v>
      </c>
      <c r="N220" s="1" t="s">
        <v>23</v>
      </c>
      <c r="O220" s="3">
        <v>120</v>
      </c>
    </row>
    <row r="221" spans="1:16" x14ac:dyDescent="0.3">
      <c r="A221" s="1" t="s">
        <v>16</v>
      </c>
      <c r="B221" s="1" t="s">
        <v>159</v>
      </c>
      <c r="C221" s="1" t="s">
        <v>17</v>
      </c>
      <c r="D221" s="1" t="s">
        <v>162</v>
      </c>
      <c r="E221" s="1" t="s">
        <v>18</v>
      </c>
      <c r="F221" s="1">
        <v>50852</v>
      </c>
      <c r="G221" s="1" t="s">
        <v>647</v>
      </c>
      <c r="H221" s="1" t="s">
        <v>648</v>
      </c>
      <c r="I221" s="1" t="s">
        <v>649</v>
      </c>
      <c r="J221" s="1" t="s">
        <v>22</v>
      </c>
      <c r="L221" s="2">
        <v>48000</v>
      </c>
      <c r="M221" s="4">
        <v>6140000</v>
      </c>
      <c r="N221" s="1" t="s">
        <v>23</v>
      </c>
      <c r="O221" s="3">
        <v>120</v>
      </c>
    </row>
    <row r="222" spans="1:16" x14ac:dyDescent="0.3">
      <c r="A222" s="1" t="s">
        <v>16</v>
      </c>
      <c r="B222" s="1" t="s">
        <v>159</v>
      </c>
      <c r="C222" s="1" t="s">
        <v>366</v>
      </c>
      <c r="D222" s="1" t="s">
        <v>164</v>
      </c>
      <c r="E222" s="1" t="s">
        <v>367</v>
      </c>
      <c r="F222" s="1">
        <v>50853</v>
      </c>
      <c r="G222" s="1" t="s">
        <v>650</v>
      </c>
      <c r="H222" s="1" t="s">
        <v>651</v>
      </c>
      <c r="I222" s="1" t="s">
        <v>652</v>
      </c>
      <c r="J222" s="1" t="s">
        <v>32</v>
      </c>
      <c r="K222" s="1" t="s">
        <v>46</v>
      </c>
      <c r="L222" s="2">
        <v>46539</v>
      </c>
      <c r="M222" s="4">
        <v>320000</v>
      </c>
      <c r="N222" s="1" t="s">
        <v>23</v>
      </c>
      <c r="O222" s="3">
        <v>13</v>
      </c>
    </row>
    <row r="223" spans="1:16" x14ac:dyDescent="0.3">
      <c r="A223" s="1" t="s">
        <v>16</v>
      </c>
      <c r="B223" s="1" t="s">
        <v>159</v>
      </c>
      <c r="C223" s="1" t="s">
        <v>41</v>
      </c>
      <c r="D223" s="1" t="s">
        <v>164</v>
      </c>
      <c r="E223" s="1" t="s">
        <v>56</v>
      </c>
      <c r="F223" s="1">
        <v>50854</v>
      </c>
      <c r="G223" s="1" t="s">
        <v>653</v>
      </c>
      <c r="H223" s="1" t="s">
        <v>654</v>
      </c>
      <c r="I223" s="1" t="s">
        <v>655</v>
      </c>
      <c r="J223" s="1" t="s">
        <v>32</v>
      </c>
      <c r="K223" s="1" t="s">
        <v>82</v>
      </c>
      <c r="L223" s="2">
        <v>47453</v>
      </c>
      <c r="M223" s="4">
        <v>55550000</v>
      </c>
      <c r="N223" s="1" t="s">
        <v>23</v>
      </c>
      <c r="O223" s="3">
        <v>69</v>
      </c>
    </row>
    <row r="224" spans="1:16" x14ac:dyDescent="0.3">
      <c r="A224" s="1" t="s">
        <v>16</v>
      </c>
      <c r="B224" s="1" t="s">
        <v>160</v>
      </c>
      <c r="C224" s="1" t="s">
        <v>17</v>
      </c>
      <c r="D224" s="1" t="s">
        <v>162</v>
      </c>
      <c r="E224" s="1" t="s">
        <v>18</v>
      </c>
      <c r="F224" s="1">
        <v>50855</v>
      </c>
      <c r="G224" s="1" t="s">
        <v>656</v>
      </c>
      <c r="H224" s="1" t="s">
        <v>657</v>
      </c>
      <c r="I224" s="1" t="s">
        <v>658</v>
      </c>
      <c r="J224" s="1" t="s">
        <v>22</v>
      </c>
      <c r="L224" s="2">
        <v>48000</v>
      </c>
      <c r="M224" s="4">
        <v>16100000</v>
      </c>
      <c r="N224" s="1" t="s">
        <v>23</v>
      </c>
      <c r="O224" s="3">
        <v>120</v>
      </c>
    </row>
    <row r="225" spans="1:16" x14ac:dyDescent="0.3">
      <c r="A225" s="1" t="s">
        <v>16</v>
      </c>
      <c r="B225" s="1" t="s">
        <v>159</v>
      </c>
      <c r="C225" s="1" t="s">
        <v>41</v>
      </c>
      <c r="D225" s="1" t="s">
        <v>164</v>
      </c>
      <c r="E225" s="1" t="s">
        <v>42</v>
      </c>
      <c r="F225" s="1">
        <v>50856</v>
      </c>
      <c r="G225" s="1" t="s">
        <v>659</v>
      </c>
      <c r="H225" s="1" t="s">
        <v>660</v>
      </c>
      <c r="I225" s="1" t="s">
        <v>661</v>
      </c>
      <c r="J225" s="1" t="s">
        <v>32</v>
      </c>
      <c r="K225" s="1" t="s">
        <v>82</v>
      </c>
      <c r="L225" s="2">
        <v>46507</v>
      </c>
      <c r="M225" s="4">
        <v>2450000</v>
      </c>
      <c r="N225" s="1" t="s">
        <v>23</v>
      </c>
      <c r="O225" s="3">
        <v>69</v>
      </c>
    </row>
    <row r="226" spans="1:16" x14ac:dyDescent="0.3">
      <c r="A226" s="1" t="s">
        <v>16</v>
      </c>
      <c r="B226" s="1" t="s">
        <v>159</v>
      </c>
      <c r="C226" s="1" t="s">
        <v>41</v>
      </c>
      <c r="D226" s="1" t="s">
        <v>164</v>
      </c>
      <c r="E226" s="1" t="s">
        <v>56</v>
      </c>
      <c r="F226" s="1">
        <v>50857</v>
      </c>
      <c r="G226" s="1" t="s">
        <v>662</v>
      </c>
      <c r="H226" s="1" t="s">
        <v>663</v>
      </c>
      <c r="I226" s="1" t="s">
        <v>664</v>
      </c>
      <c r="J226" s="1" t="s">
        <v>32</v>
      </c>
      <c r="K226" s="1" t="s">
        <v>46</v>
      </c>
      <c r="L226" s="2">
        <v>47478</v>
      </c>
      <c r="M226" s="4">
        <v>10200000</v>
      </c>
      <c r="N226" s="1" t="s">
        <v>23</v>
      </c>
      <c r="O226" s="3">
        <v>69</v>
      </c>
      <c r="P226" s="3">
        <v>13</v>
      </c>
    </row>
    <row r="227" spans="1:16" x14ac:dyDescent="0.3">
      <c r="A227" s="1" t="s">
        <v>16</v>
      </c>
      <c r="B227" s="1" t="s">
        <v>159</v>
      </c>
      <c r="C227" s="1" t="s">
        <v>51</v>
      </c>
      <c r="D227" s="1" t="s">
        <v>162</v>
      </c>
      <c r="E227" s="1" t="s">
        <v>18</v>
      </c>
      <c r="F227" s="1">
        <v>50858</v>
      </c>
      <c r="G227" s="1" t="s">
        <v>665</v>
      </c>
      <c r="H227" s="1" t="s">
        <v>666</v>
      </c>
      <c r="I227" s="1" t="s">
        <v>667</v>
      </c>
      <c r="J227" s="1" t="s">
        <v>22</v>
      </c>
      <c r="L227" s="2">
        <v>47178</v>
      </c>
      <c r="M227" s="4">
        <v>102800</v>
      </c>
      <c r="N227" s="1" t="s">
        <v>23</v>
      </c>
      <c r="O227" s="3">
        <v>138</v>
      </c>
    </row>
    <row r="228" spans="1:16" x14ac:dyDescent="0.3">
      <c r="A228" s="1" t="s">
        <v>16</v>
      </c>
      <c r="B228" s="1" t="s">
        <v>160</v>
      </c>
      <c r="C228" s="1" t="s">
        <v>17</v>
      </c>
      <c r="D228" s="1" t="s">
        <v>162</v>
      </c>
      <c r="E228" s="1" t="s">
        <v>18</v>
      </c>
      <c r="F228" s="1">
        <v>50859</v>
      </c>
      <c r="G228" s="1" t="s">
        <v>668</v>
      </c>
      <c r="H228" s="1" t="s">
        <v>669</v>
      </c>
      <c r="I228" s="1" t="s">
        <v>670</v>
      </c>
      <c r="J228" s="1" t="s">
        <v>22</v>
      </c>
      <c r="L228" s="2">
        <v>47848</v>
      </c>
      <c r="M228" s="4">
        <v>100000</v>
      </c>
      <c r="N228" s="1" t="s">
        <v>23</v>
      </c>
      <c r="O228" s="3">
        <v>120</v>
      </c>
    </row>
    <row r="229" spans="1:16" x14ac:dyDescent="0.3">
      <c r="A229" s="1" t="s">
        <v>16</v>
      </c>
      <c r="B229" s="1" t="s">
        <v>159</v>
      </c>
      <c r="C229" s="1" t="s">
        <v>41</v>
      </c>
      <c r="D229" s="1" t="s">
        <v>164</v>
      </c>
      <c r="E229" s="1" t="s">
        <v>56</v>
      </c>
      <c r="F229" s="1">
        <v>50860</v>
      </c>
      <c r="G229" s="1" t="s">
        <v>671</v>
      </c>
      <c r="H229" s="1" t="s">
        <v>672</v>
      </c>
      <c r="I229" s="1" t="s">
        <v>673</v>
      </c>
      <c r="J229" s="1" t="s">
        <v>32</v>
      </c>
      <c r="K229" s="1" t="s">
        <v>46</v>
      </c>
      <c r="L229" s="2">
        <v>46753</v>
      </c>
      <c r="M229" s="4">
        <v>200000</v>
      </c>
      <c r="N229" s="1" t="s">
        <v>23</v>
      </c>
      <c r="O229" s="3">
        <v>161</v>
      </c>
      <c r="P229" s="3">
        <v>69</v>
      </c>
    </row>
    <row r="230" spans="1:16" x14ac:dyDescent="0.3">
      <c r="A230" s="1" t="s">
        <v>16</v>
      </c>
      <c r="B230" s="1" t="s">
        <v>159</v>
      </c>
      <c r="C230" s="1" t="s">
        <v>41</v>
      </c>
      <c r="D230" s="1" t="s">
        <v>164</v>
      </c>
      <c r="E230" s="1" t="s">
        <v>42</v>
      </c>
      <c r="F230" s="1">
        <v>50861</v>
      </c>
      <c r="G230" s="1" t="s">
        <v>674</v>
      </c>
      <c r="H230" s="1" t="s">
        <v>675</v>
      </c>
      <c r="I230" s="1" t="s">
        <v>676</v>
      </c>
      <c r="J230" s="1" t="s">
        <v>32</v>
      </c>
      <c r="K230" s="1" t="s">
        <v>46</v>
      </c>
      <c r="L230" s="2">
        <v>46753</v>
      </c>
      <c r="M230" s="4">
        <v>300000</v>
      </c>
      <c r="N230" s="1" t="s">
        <v>23</v>
      </c>
      <c r="O230" s="3">
        <v>345</v>
      </c>
    </row>
    <row r="231" spans="1:16" x14ac:dyDescent="0.3">
      <c r="A231" s="1" t="s">
        <v>16</v>
      </c>
      <c r="B231" s="1" t="s">
        <v>159</v>
      </c>
      <c r="C231" s="1" t="s">
        <v>41</v>
      </c>
      <c r="D231" s="1" t="s">
        <v>164</v>
      </c>
      <c r="E231" s="1" t="s">
        <v>56</v>
      </c>
      <c r="F231" s="1">
        <v>50862</v>
      </c>
      <c r="G231" s="1" t="s">
        <v>677</v>
      </c>
      <c r="H231" s="1" t="s">
        <v>678</v>
      </c>
      <c r="I231" s="1" t="s">
        <v>679</v>
      </c>
      <c r="J231" s="1" t="s">
        <v>32</v>
      </c>
      <c r="K231" s="1" t="s">
        <v>46</v>
      </c>
      <c r="L231" s="2">
        <v>46753</v>
      </c>
      <c r="M231" s="4">
        <v>150000</v>
      </c>
      <c r="N231" s="1" t="s">
        <v>23</v>
      </c>
      <c r="O231" s="3">
        <v>161</v>
      </c>
      <c r="P231" s="3">
        <v>69</v>
      </c>
    </row>
    <row r="232" spans="1:16" x14ac:dyDescent="0.3">
      <c r="A232" s="1" t="s">
        <v>16</v>
      </c>
      <c r="B232" s="1" t="s">
        <v>159</v>
      </c>
      <c r="C232" s="1" t="s">
        <v>41</v>
      </c>
      <c r="D232" s="1" t="s">
        <v>164</v>
      </c>
      <c r="E232" s="1" t="s">
        <v>42</v>
      </c>
      <c r="F232" s="1">
        <v>50863</v>
      </c>
      <c r="G232" s="1" t="s">
        <v>680</v>
      </c>
      <c r="H232" s="1" t="s">
        <v>681</v>
      </c>
      <c r="I232" s="1" t="s">
        <v>679</v>
      </c>
      <c r="J232" s="1" t="s">
        <v>32</v>
      </c>
      <c r="K232" s="1" t="s">
        <v>46</v>
      </c>
      <c r="L232" s="2">
        <v>46753</v>
      </c>
      <c r="M232" s="4">
        <v>300000</v>
      </c>
      <c r="N232" s="1" t="s">
        <v>23</v>
      </c>
      <c r="O232" s="3">
        <v>345</v>
      </c>
      <c r="P232" s="3">
        <v>69</v>
      </c>
    </row>
    <row r="233" spans="1:16" x14ac:dyDescent="0.3">
      <c r="A233" s="1" t="s">
        <v>16</v>
      </c>
      <c r="B233" s="1" t="s">
        <v>159</v>
      </c>
      <c r="C233" s="1" t="s">
        <v>41</v>
      </c>
      <c r="D233" s="1" t="s">
        <v>164</v>
      </c>
      <c r="E233" s="1" t="s">
        <v>56</v>
      </c>
      <c r="F233" s="1">
        <v>50864</v>
      </c>
      <c r="G233" s="1" t="s">
        <v>682</v>
      </c>
      <c r="H233" s="1" t="s">
        <v>683</v>
      </c>
      <c r="I233" s="1" t="s">
        <v>679</v>
      </c>
      <c r="J233" s="1" t="s">
        <v>32</v>
      </c>
      <c r="K233" s="1" t="s">
        <v>46</v>
      </c>
      <c r="L233" s="2">
        <v>46753</v>
      </c>
      <c r="M233" s="4">
        <v>250000</v>
      </c>
      <c r="N233" s="1" t="s">
        <v>23</v>
      </c>
      <c r="O233" s="3">
        <v>345</v>
      </c>
      <c r="P233" s="3">
        <v>115</v>
      </c>
    </row>
    <row r="234" spans="1:16" x14ac:dyDescent="0.3">
      <c r="A234" s="1" t="s">
        <v>16</v>
      </c>
      <c r="B234" s="1" t="s">
        <v>159</v>
      </c>
      <c r="C234" s="1" t="s">
        <v>41</v>
      </c>
      <c r="D234" s="1" t="s">
        <v>164</v>
      </c>
      <c r="E234" s="1" t="s">
        <v>56</v>
      </c>
      <c r="F234" s="1">
        <v>50865</v>
      </c>
      <c r="G234" s="1" t="s">
        <v>684</v>
      </c>
      <c r="H234" s="1" t="s">
        <v>685</v>
      </c>
      <c r="I234" s="1" t="s">
        <v>679</v>
      </c>
      <c r="J234" s="1" t="s">
        <v>32</v>
      </c>
      <c r="K234" s="1" t="s">
        <v>46</v>
      </c>
      <c r="L234" s="2">
        <v>46753</v>
      </c>
      <c r="M234" s="4">
        <v>150000</v>
      </c>
      <c r="N234" s="1" t="s">
        <v>23</v>
      </c>
      <c r="O234" s="3">
        <v>115</v>
      </c>
      <c r="P234" s="3">
        <v>69</v>
      </c>
    </row>
    <row r="235" spans="1:16" x14ac:dyDescent="0.3">
      <c r="A235" s="1" t="s">
        <v>16</v>
      </c>
      <c r="B235" s="1" t="s">
        <v>159</v>
      </c>
      <c r="C235" s="1" t="s">
        <v>41</v>
      </c>
      <c r="D235" s="1" t="s">
        <v>164</v>
      </c>
      <c r="E235" s="1" t="s">
        <v>56</v>
      </c>
      <c r="F235" s="1">
        <v>50866</v>
      </c>
      <c r="G235" s="1" t="s">
        <v>686</v>
      </c>
      <c r="H235" s="1" t="s">
        <v>687</v>
      </c>
      <c r="I235" s="1" t="s">
        <v>688</v>
      </c>
      <c r="J235" s="1" t="s">
        <v>32</v>
      </c>
      <c r="K235" s="1" t="s">
        <v>46</v>
      </c>
      <c r="L235" s="2">
        <v>46753</v>
      </c>
      <c r="M235" s="4">
        <v>300000</v>
      </c>
      <c r="N235" s="1" t="s">
        <v>23</v>
      </c>
      <c r="O235" s="3">
        <v>115</v>
      </c>
      <c r="P235" s="3">
        <v>69</v>
      </c>
    </row>
    <row r="236" spans="1:16" x14ac:dyDescent="0.3">
      <c r="A236" s="1" t="s">
        <v>16</v>
      </c>
      <c r="B236" s="1" t="s">
        <v>159</v>
      </c>
      <c r="C236" s="1" t="s">
        <v>17</v>
      </c>
      <c r="D236" s="1" t="s">
        <v>162</v>
      </c>
      <c r="E236" s="1" t="s">
        <v>18</v>
      </c>
      <c r="F236" s="1">
        <v>50867</v>
      </c>
      <c r="G236" s="1" t="s">
        <v>689</v>
      </c>
      <c r="H236" s="1" t="s">
        <v>690</v>
      </c>
      <c r="I236" s="1" t="s">
        <v>691</v>
      </c>
      <c r="J236" s="1" t="s">
        <v>22</v>
      </c>
      <c r="L236" s="2">
        <v>47848</v>
      </c>
      <c r="M236" s="4">
        <v>1562000</v>
      </c>
      <c r="N236" s="1" t="s">
        <v>23</v>
      </c>
      <c r="O236" s="3">
        <v>120</v>
      </c>
    </row>
    <row r="237" spans="1:16" x14ac:dyDescent="0.3">
      <c r="A237" s="1" t="s">
        <v>16</v>
      </c>
      <c r="B237" s="1" t="s">
        <v>159</v>
      </c>
      <c r="C237" s="1" t="s">
        <v>41</v>
      </c>
      <c r="D237" s="1" t="s">
        <v>164</v>
      </c>
      <c r="E237" s="1" t="s">
        <v>56</v>
      </c>
      <c r="F237" s="1">
        <v>50868</v>
      </c>
      <c r="G237" s="1" t="s">
        <v>692</v>
      </c>
      <c r="H237" s="1" t="s">
        <v>693</v>
      </c>
      <c r="I237" s="1" t="s">
        <v>679</v>
      </c>
      <c r="J237" s="1" t="s">
        <v>32</v>
      </c>
      <c r="K237" s="1" t="s">
        <v>46</v>
      </c>
      <c r="L237" s="2">
        <v>46753</v>
      </c>
      <c r="M237" s="4">
        <v>150000</v>
      </c>
      <c r="N237" s="1" t="s">
        <v>23</v>
      </c>
      <c r="O237" s="3">
        <v>115</v>
      </c>
      <c r="P237" s="3">
        <v>69</v>
      </c>
    </row>
    <row r="238" spans="1:16" x14ac:dyDescent="0.3">
      <c r="A238" s="1" t="s">
        <v>16</v>
      </c>
      <c r="B238" s="1" t="s">
        <v>159</v>
      </c>
      <c r="C238" s="1" t="s">
        <v>17</v>
      </c>
      <c r="D238" s="1" t="s">
        <v>162</v>
      </c>
      <c r="E238" s="1" t="s">
        <v>18</v>
      </c>
      <c r="F238" s="1">
        <v>50869</v>
      </c>
      <c r="G238" s="1" t="s">
        <v>694</v>
      </c>
      <c r="H238" s="1" t="s">
        <v>695</v>
      </c>
      <c r="I238" s="1" t="s">
        <v>696</v>
      </c>
      <c r="J238" s="1" t="s">
        <v>32</v>
      </c>
      <c r="K238" s="1" t="s">
        <v>33</v>
      </c>
      <c r="L238" s="2">
        <v>48000</v>
      </c>
      <c r="M238" s="4">
        <v>22085000</v>
      </c>
      <c r="N238" s="1" t="s">
        <v>23</v>
      </c>
      <c r="O238" s="3">
        <v>120</v>
      </c>
    </row>
    <row r="239" spans="1:16" x14ac:dyDescent="0.3">
      <c r="A239" s="1" t="s">
        <v>16</v>
      </c>
      <c r="B239" s="1" t="s">
        <v>159</v>
      </c>
      <c r="C239" s="1" t="s">
        <v>41</v>
      </c>
      <c r="D239" s="1" t="s">
        <v>164</v>
      </c>
      <c r="E239" s="1" t="s">
        <v>42</v>
      </c>
      <c r="F239" s="1">
        <v>50870</v>
      </c>
      <c r="G239" s="1" t="s">
        <v>697</v>
      </c>
      <c r="H239" s="1" t="s">
        <v>698</v>
      </c>
      <c r="I239" s="1" t="s">
        <v>679</v>
      </c>
      <c r="J239" s="1" t="s">
        <v>32</v>
      </c>
      <c r="K239" s="1" t="s">
        <v>46</v>
      </c>
      <c r="L239" s="2">
        <v>46753</v>
      </c>
      <c r="M239" s="4">
        <v>300000</v>
      </c>
      <c r="N239" s="1" t="s">
        <v>23</v>
      </c>
      <c r="O239" s="3">
        <v>115</v>
      </c>
      <c r="P239" s="3">
        <v>69</v>
      </c>
    </row>
    <row r="240" spans="1:16" x14ac:dyDescent="0.3">
      <c r="A240" s="1" t="s">
        <v>16</v>
      </c>
      <c r="B240" s="1" t="s">
        <v>159</v>
      </c>
      <c r="C240" s="1" t="s">
        <v>41</v>
      </c>
      <c r="D240" s="1" t="s">
        <v>164</v>
      </c>
      <c r="E240" s="1" t="s">
        <v>56</v>
      </c>
      <c r="F240" s="1">
        <v>50871</v>
      </c>
      <c r="G240" s="1" t="s">
        <v>699</v>
      </c>
      <c r="H240" s="1" t="s">
        <v>700</v>
      </c>
      <c r="I240" s="1" t="s">
        <v>679</v>
      </c>
      <c r="J240" s="1" t="s">
        <v>32</v>
      </c>
      <c r="K240" s="1" t="s">
        <v>46</v>
      </c>
      <c r="L240" s="2">
        <v>46753</v>
      </c>
      <c r="M240" s="4">
        <v>150000</v>
      </c>
      <c r="N240" s="1" t="s">
        <v>23</v>
      </c>
      <c r="O240" s="3">
        <v>115</v>
      </c>
    </row>
    <row r="241" spans="1:16" x14ac:dyDescent="0.3">
      <c r="A241" s="1" t="s">
        <v>16</v>
      </c>
      <c r="B241" s="1" t="s">
        <v>159</v>
      </c>
      <c r="C241" s="1" t="s">
        <v>41</v>
      </c>
      <c r="D241" s="1" t="s">
        <v>164</v>
      </c>
      <c r="E241" s="1" t="s">
        <v>56</v>
      </c>
      <c r="F241" s="1">
        <v>50872</v>
      </c>
      <c r="G241" s="1" t="s">
        <v>701</v>
      </c>
      <c r="H241" s="1" t="s">
        <v>702</v>
      </c>
      <c r="I241" s="1" t="s">
        <v>679</v>
      </c>
      <c r="J241" s="1" t="s">
        <v>32</v>
      </c>
      <c r="K241" s="1" t="s">
        <v>46</v>
      </c>
      <c r="L241" s="2">
        <v>46753</v>
      </c>
      <c r="M241" s="4">
        <v>150000</v>
      </c>
      <c r="N241" s="1" t="s">
        <v>23</v>
      </c>
      <c r="O241" s="3">
        <v>115</v>
      </c>
    </row>
    <row r="242" spans="1:16" x14ac:dyDescent="0.3">
      <c r="A242" s="1" t="s">
        <v>16</v>
      </c>
      <c r="B242" s="1" t="s">
        <v>159</v>
      </c>
      <c r="C242" s="1" t="s">
        <v>224</v>
      </c>
      <c r="D242" s="1" t="s">
        <v>164</v>
      </c>
      <c r="E242" s="1" t="s">
        <v>56</v>
      </c>
      <c r="F242" s="1">
        <v>50873</v>
      </c>
      <c r="G242" s="1" t="s">
        <v>703</v>
      </c>
      <c r="H242" s="1" t="s">
        <v>704</v>
      </c>
      <c r="I242" s="1" t="s">
        <v>705</v>
      </c>
      <c r="J242" s="1" t="s">
        <v>32</v>
      </c>
      <c r="K242" s="1" t="s">
        <v>46</v>
      </c>
      <c r="L242" s="2">
        <v>48403</v>
      </c>
      <c r="M242" s="4">
        <v>101358962</v>
      </c>
      <c r="N242" s="1" t="s">
        <v>23</v>
      </c>
      <c r="O242" s="3">
        <v>115</v>
      </c>
      <c r="P242" s="3">
        <v>69</v>
      </c>
    </row>
    <row r="243" spans="1:16" x14ac:dyDescent="0.3">
      <c r="A243" s="1" t="s">
        <v>16</v>
      </c>
      <c r="B243" s="1" t="s">
        <v>159</v>
      </c>
      <c r="C243" s="1" t="s">
        <v>41</v>
      </c>
      <c r="D243" s="1" t="s">
        <v>164</v>
      </c>
      <c r="E243" s="1" t="s">
        <v>56</v>
      </c>
      <c r="F243" s="1">
        <v>50874</v>
      </c>
      <c r="G243" s="1" t="s">
        <v>706</v>
      </c>
      <c r="H243" s="1" t="s">
        <v>707</v>
      </c>
      <c r="I243" s="1" t="s">
        <v>679</v>
      </c>
      <c r="J243" s="1" t="s">
        <v>32</v>
      </c>
      <c r="K243" s="1" t="s">
        <v>46</v>
      </c>
      <c r="L243" s="2">
        <v>46753</v>
      </c>
      <c r="M243" s="4">
        <v>150000</v>
      </c>
      <c r="N243" s="1" t="s">
        <v>23</v>
      </c>
      <c r="O243" s="3">
        <v>345</v>
      </c>
      <c r="P243" s="3">
        <v>69</v>
      </c>
    </row>
    <row r="244" spans="1:16" x14ac:dyDescent="0.3">
      <c r="A244" s="1" t="s">
        <v>16</v>
      </c>
      <c r="B244" s="1" t="s">
        <v>159</v>
      </c>
      <c r="C244" s="1" t="s">
        <v>224</v>
      </c>
      <c r="D244" s="1" t="s">
        <v>164</v>
      </c>
      <c r="E244" s="1" t="s">
        <v>56</v>
      </c>
      <c r="F244" s="1">
        <v>50875</v>
      </c>
      <c r="G244" s="1" t="s">
        <v>708</v>
      </c>
      <c r="H244" s="1" t="s">
        <v>709</v>
      </c>
      <c r="I244" s="1" t="s">
        <v>710</v>
      </c>
      <c r="J244" s="1" t="s">
        <v>32</v>
      </c>
      <c r="K244" s="1" t="s">
        <v>46</v>
      </c>
      <c r="L244" s="2">
        <v>46434</v>
      </c>
      <c r="M244" s="4">
        <v>3129653</v>
      </c>
      <c r="N244" s="1" t="s">
        <v>23</v>
      </c>
      <c r="O244" s="3">
        <v>161</v>
      </c>
    </row>
    <row r="245" spans="1:16" x14ac:dyDescent="0.3">
      <c r="A245" s="1" t="s">
        <v>16</v>
      </c>
      <c r="B245" s="1" t="s">
        <v>159</v>
      </c>
      <c r="C245" s="1" t="s">
        <v>224</v>
      </c>
      <c r="D245" s="1" t="s">
        <v>164</v>
      </c>
      <c r="E245" s="1" t="s">
        <v>56</v>
      </c>
      <c r="F245" s="1">
        <v>50876</v>
      </c>
      <c r="G245" s="1" t="s">
        <v>711</v>
      </c>
      <c r="H245" s="1" t="s">
        <v>712</v>
      </c>
      <c r="I245" s="1" t="s">
        <v>713</v>
      </c>
      <c r="J245" s="1" t="s">
        <v>32</v>
      </c>
      <c r="K245" s="1" t="s">
        <v>205</v>
      </c>
      <c r="L245" s="2">
        <v>47968</v>
      </c>
      <c r="M245" s="4">
        <v>8016551</v>
      </c>
      <c r="N245" s="1" t="s">
        <v>23</v>
      </c>
      <c r="O245" s="3">
        <v>115</v>
      </c>
    </row>
    <row r="246" spans="1:16" x14ac:dyDescent="0.3">
      <c r="A246" s="1" t="s">
        <v>16</v>
      </c>
      <c r="B246" s="1" t="s">
        <v>159</v>
      </c>
      <c r="C246" s="1" t="s">
        <v>224</v>
      </c>
      <c r="D246" s="1" t="s">
        <v>164</v>
      </c>
      <c r="E246" s="1" t="s">
        <v>56</v>
      </c>
      <c r="F246" s="1">
        <v>50877</v>
      </c>
      <c r="G246" s="1" t="s">
        <v>714</v>
      </c>
      <c r="H246" s="1" t="s">
        <v>715</v>
      </c>
      <c r="I246" s="1" t="s">
        <v>716</v>
      </c>
      <c r="J246" s="1" t="s">
        <v>32</v>
      </c>
      <c r="K246" s="1" t="s">
        <v>33</v>
      </c>
      <c r="L246" s="2">
        <v>46750</v>
      </c>
      <c r="M246" s="4">
        <v>3640679</v>
      </c>
      <c r="N246" s="1" t="s">
        <v>23</v>
      </c>
      <c r="O246" s="3">
        <v>115</v>
      </c>
    </row>
    <row r="247" spans="1:16" x14ac:dyDescent="0.3">
      <c r="A247" s="1" t="s">
        <v>16</v>
      </c>
      <c r="B247" s="1" t="s">
        <v>159</v>
      </c>
      <c r="C247" s="1" t="s">
        <v>41</v>
      </c>
      <c r="D247" s="1" t="s">
        <v>164</v>
      </c>
      <c r="E247" s="1" t="s">
        <v>56</v>
      </c>
      <c r="F247" s="1">
        <v>50878</v>
      </c>
      <c r="G247" s="1" t="s">
        <v>717</v>
      </c>
      <c r="H247" s="1" t="s">
        <v>718</v>
      </c>
      <c r="I247" s="1" t="s">
        <v>679</v>
      </c>
      <c r="J247" s="1" t="s">
        <v>32</v>
      </c>
      <c r="K247" s="1" t="s">
        <v>46</v>
      </c>
      <c r="L247" s="2">
        <v>46753</v>
      </c>
      <c r="M247" s="4">
        <v>100000</v>
      </c>
      <c r="N247" s="1" t="s">
        <v>23</v>
      </c>
      <c r="O247" s="3">
        <v>345</v>
      </c>
      <c r="P247" s="3">
        <v>115</v>
      </c>
    </row>
    <row r="248" spans="1:16" x14ac:dyDescent="0.3">
      <c r="A248" s="1" t="s">
        <v>16</v>
      </c>
      <c r="B248" s="1" t="s">
        <v>159</v>
      </c>
      <c r="C248" s="1" t="s">
        <v>41</v>
      </c>
      <c r="D248" s="1" t="s">
        <v>164</v>
      </c>
      <c r="E248" s="1" t="s">
        <v>719</v>
      </c>
      <c r="F248" s="1">
        <v>50879</v>
      </c>
      <c r="G248" s="1" t="s">
        <v>720</v>
      </c>
      <c r="H248" s="1" t="s">
        <v>721</v>
      </c>
      <c r="I248" s="1" t="s">
        <v>722</v>
      </c>
      <c r="J248" s="1" t="s">
        <v>32</v>
      </c>
      <c r="K248" s="1" t="s">
        <v>33</v>
      </c>
      <c r="L248" s="2">
        <v>47088</v>
      </c>
      <c r="M248" s="4">
        <v>36200000</v>
      </c>
      <c r="N248" s="1" t="s">
        <v>23</v>
      </c>
      <c r="O248" s="3">
        <v>115</v>
      </c>
    </row>
    <row r="249" spans="1:16" x14ac:dyDescent="0.3">
      <c r="A249" s="1" t="s">
        <v>16</v>
      </c>
      <c r="B249" s="1" t="s">
        <v>159</v>
      </c>
      <c r="C249" s="1" t="s">
        <v>41</v>
      </c>
      <c r="D249" s="1" t="s">
        <v>164</v>
      </c>
      <c r="E249" s="1" t="s">
        <v>719</v>
      </c>
      <c r="F249" s="1">
        <v>50880</v>
      </c>
      <c r="G249" s="1" t="s">
        <v>723</v>
      </c>
      <c r="H249" s="1" t="s">
        <v>724</v>
      </c>
      <c r="I249" s="1" t="s">
        <v>722</v>
      </c>
      <c r="J249" s="1" t="s">
        <v>32</v>
      </c>
      <c r="K249" s="1" t="s">
        <v>33</v>
      </c>
      <c r="L249" s="2">
        <v>46722</v>
      </c>
      <c r="M249" s="4">
        <v>36400000</v>
      </c>
      <c r="N249" s="1" t="s">
        <v>23</v>
      </c>
      <c r="O249" s="3">
        <v>115</v>
      </c>
    </row>
    <row r="250" spans="1:16" x14ac:dyDescent="0.3">
      <c r="A250" s="1" t="s">
        <v>16</v>
      </c>
      <c r="B250" s="1" t="s">
        <v>159</v>
      </c>
      <c r="C250" s="1" t="s">
        <v>41</v>
      </c>
      <c r="D250" s="1" t="s">
        <v>164</v>
      </c>
      <c r="E250" s="1" t="s">
        <v>56</v>
      </c>
      <c r="F250" s="1">
        <v>50881</v>
      </c>
      <c r="G250" s="1" t="s">
        <v>725</v>
      </c>
      <c r="H250" s="1" t="s">
        <v>726</v>
      </c>
      <c r="I250" s="1" t="s">
        <v>727</v>
      </c>
      <c r="J250" s="1" t="s">
        <v>32</v>
      </c>
      <c r="K250" s="1" t="s">
        <v>46</v>
      </c>
      <c r="L250" s="2">
        <v>46903</v>
      </c>
      <c r="M250" s="4">
        <v>3500000</v>
      </c>
      <c r="N250" s="1" t="s">
        <v>23</v>
      </c>
      <c r="O250" s="3">
        <v>115</v>
      </c>
      <c r="P250" s="3">
        <v>14</v>
      </c>
    </row>
    <row r="251" spans="1:16" x14ac:dyDescent="0.3">
      <c r="A251" s="1" t="s">
        <v>16</v>
      </c>
      <c r="B251" s="1" t="s">
        <v>159</v>
      </c>
      <c r="C251" s="1" t="s">
        <v>64</v>
      </c>
      <c r="D251" s="1" t="s">
        <v>161</v>
      </c>
      <c r="E251" s="1" t="s">
        <v>728</v>
      </c>
      <c r="F251" s="1">
        <v>50882</v>
      </c>
      <c r="G251" s="1" t="s">
        <v>729</v>
      </c>
      <c r="H251" s="1" t="s">
        <v>730</v>
      </c>
      <c r="I251" s="1" t="s">
        <v>731</v>
      </c>
      <c r="J251" s="1" t="s">
        <v>32</v>
      </c>
      <c r="K251" s="1" t="s">
        <v>33</v>
      </c>
      <c r="L251" s="2">
        <v>46752</v>
      </c>
      <c r="M251" s="4">
        <v>5000000</v>
      </c>
      <c r="N251" s="1" t="s">
        <v>23</v>
      </c>
      <c r="O251" s="3">
        <v>345</v>
      </c>
      <c r="P251" s="3">
        <v>138</v>
      </c>
    </row>
    <row r="252" spans="1:16" x14ac:dyDescent="0.3">
      <c r="A252" s="1" t="s">
        <v>16</v>
      </c>
      <c r="B252" s="1" t="s">
        <v>159</v>
      </c>
      <c r="C252" s="1" t="s">
        <v>64</v>
      </c>
      <c r="D252" s="1" t="s">
        <v>161</v>
      </c>
      <c r="E252" s="1" t="s">
        <v>728</v>
      </c>
      <c r="F252" s="1">
        <v>50883</v>
      </c>
      <c r="G252" s="1" t="s">
        <v>732</v>
      </c>
      <c r="H252" s="1" t="s">
        <v>733</v>
      </c>
      <c r="I252" s="1" t="s">
        <v>731</v>
      </c>
      <c r="J252" s="1" t="s">
        <v>32</v>
      </c>
      <c r="K252" s="1" t="s">
        <v>33</v>
      </c>
      <c r="L252" s="2">
        <v>46752</v>
      </c>
      <c r="M252" s="4">
        <v>20000000</v>
      </c>
      <c r="N252" s="1" t="s">
        <v>23</v>
      </c>
      <c r="O252" s="3">
        <v>345</v>
      </c>
      <c r="P252" s="3">
        <v>138</v>
      </c>
    </row>
    <row r="253" spans="1:16" x14ac:dyDescent="0.3">
      <c r="A253" s="1" t="s">
        <v>16</v>
      </c>
      <c r="B253" s="1" t="s">
        <v>159</v>
      </c>
      <c r="C253" s="1" t="s">
        <v>384</v>
      </c>
      <c r="D253" s="1" t="s">
        <v>161</v>
      </c>
      <c r="E253" s="1" t="s">
        <v>367</v>
      </c>
      <c r="F253" s="1">
        <v>50884</v>
      </c>
      <c r="G253" s="1" t="s">
        <v>734</v>
      </c>
      <c r="H253" s="1" t="s">
        <v>735</v>
      </c>
      <c r="I253" s="1" t="s">
        <v>402</v>
      </c>
      <c r="J253" s="1" t="s">
        <v>32</v>
      </c>
      <c r="K253" s="1" t="s">
        <v>46</v>
      </c>
      <c r="L253" s="2">
        <v>47270</v>
      </c>
      <c r="M253" s="4">
        <v>50000000</v>
      </c>
      <c r="N253" s="1" t="s">
        <v>23</v>
      </c>
      <c r="O253" s="3">
        <v>345</v>
      </c>
      <c r="P253" s="3">
        <v>69</v>
      </c>
    </row>
    <row r="254" spans="1:16" x14ac:dyDescent="0.3">
      <c r="A254" s="1" t="s">
        <v>16</v>
      </c>
      <c r="B254" s="1" t="s">
        <v>159</v>
      </c>
      <c r="C254" s="1" t="s">
        <v>64</v>
      </c>
      <c r="D254" s="1" t="s">
        <v>161</v>
      </c>
      <c r="E254" s="1" t="s">
        <v>65</v>
      </c>
      <c r="F254" s="1">
        <v>50885</v>
      </c>
      <c r="G254" s="1" t="s">
        <v>736</v>
      </c>
      <c r="H254" s="1" t="s">
        <v>737</v>
      </c>
      <c r="I254" s="1" t="s">
        <v>387</v>
      </c>
      <c r="J254" s="1" t="s">
        <v>32</v>
      </c>
      <c r="K254" s="1" t="s">
        <v>205</v>
      </c>
      <c r="L254" s="2">
        <v>47453</v>
      </c>
      <c r="M254" s="4">
        <v>24100000</v>
      </c>
      <c r="N254" s="1" t="s">
        <v>50</v>
      </c>
      <c r="O254" s="3">
        <v>138</v>
      </c>
    </row>
    <row r="255" spans="1:16" x14ac:dyDescent="0.3">
      <c r="A255" s="1" t="s">
        <v>16</v>
      </c>
      <c r="B255" s="1" t="s">
        <v>159</v>
      </c>
      <c r="C255" s="1" t="s">
        <v>51</v>
      </c>
      <c r="D255" s="1" t="s">
        <v>162</v>
      </c>
      <c r="E255" s="1" t="s">
        <v>18</v>
      </c>
      <c r="F255" s="1">
        <v>50888</v>
      </c>
      <c r="G255" s="1" t="s">
        <v>738</v>
      </c>
      <c r="H255" s="1" t="s">
        <v>739</v>
      </c>
      <c r="I255" s="1" t="s">
        <v>740</v>
      </c>
      <c r="J255" s="1" t="s">
        <v>22</v>
      </c>
      <c r="L255" s="2">
        <v>48000</v>
      </c>
      <c r="M255" s="4">
        <v>1840000</v>
      </c>
      <c r="N255" s="1" t="s">
        <v>23</v>
      </c>
      <c r="O255" s="3">
        <v>138</v>
      </c>
    </row>
    <row r="256" spans="1:16" x14ac:dyDescent="0.3">
      <c r="A256" s="1" t="s">
        <v>16</v>
      </c>
      <c r="B256" s="1" t="s">
        <v>159</v>
      </c>
      <c r="C256" s="1" t="s">
        <v>17</v>
      </c>
      <c r="D256" s="1" t="s">
        <v>162</v>
      </c>
      <c r="E256" s="1" t="s">
        <v>18</v>
      </c>
      <c r="F256" s="1">
        <v>50890</v>
      </c>
      <c r="G256" s="1" t="s">
        <v>741</v>
      </c>
      <c r="H256" s="1" t="s">
        <v>742</v>
      </c>
      <c r="I256" s="1" t="s">
        <v>743</v>
      </c>
      <c r="J256" s="1" t="s">
        <v>32</v>
      </c>
      <c r="K256" s="1" t="s">
        <v>205</v>
      </c>
      <c r="L256" s="2">
        <v>47484</v>
      </c>
      <c r="M256" s="4">
        <v>7840000</v>
      </c>
      <c r="N256" s="1" t="s">
        <v>23</v>
      </c>
      <c r="O256" s="3">
        <v>120</v>
      </c>
    </row>
    <row r="257" spans="1:16" x14ac:dyDescent="0.3">
      <c r="A257" s="1" t="s">
        <v>16</v>
      </c>
      <c r="B257" s="1" t="s">
        <v>159</v>
      </c>
      <c r="C257" s="1" t="s">
        <v>72</v>
      </c>
      <c r="D257" s="1" t="s">
        <v>161</v>
      </c>
      <c r="E257" s="1" t="s">
        <v>73</v>
      </c>
      <c r="F257" s="1">
        <v>50891</v>
      </c>
      <c r="G257" s="1" t="s">
        <v>744</v>
      </c>
      <c r="H257" s="1" t="s">
        <v>745</v>
      </c>
      <c r="I257" s="1" t="s">
        <v>746</v>
      </c>
      <c r="J257" s="1" t="s">
        <v>32</v>
      </c>
      <c r="K257" s="1" t="s">
        <v>33</v>
      </c>
      <c r="L257" s="2">
        <v>46722</v>
      </c>
      <c r="M257" s="4">
        <v>4500000</v>
      </c>
      <c r="N257" s="1" t="s">
        <v>23</v>
      </c>
      <c r="O257" s="3">
        <v>138</v>
      </c>
    </row>
    <row r="258" spans="1:16" x14ac:dyDescent="0.3">
      <c r="A258" s="1" t="s">
        <v>16</v>
      </c>
      <c r="B258" s="1" t="s">
        <v>159</v>
      </c>
      <c r="C258" s="1" t="s">
        <v>17</v>
      </c>
      <c r="D258" s="1" t="s">
        <v>162</v>
      </c>
      <c r="E258" s="1" t="s">
        <v>18</v>
      </c>
      <c r="F258" s="1">
        <v>50892</v>
      </c>
      <c r="G258" s="1" t="s">
        <v>747</v>
      </c>
      <c r="H258" s="1" t="s">
        <v>748</v>
      </c>
      <c r="I258" s="1" t="s">
        <v>749</v>
      </c>
      <c r="J258" s="1" t="s">
        <v>22</v>
      </c>
      <c r="L258" s="2">
        <v>48029</v>
      </c>
      <c r="M258" s="4">
        <v>117545000</v>
      </c>
      <c r="N258" s="1" t="s">
        <v>23</v>
      </c>
      <c r="O258" s="3">
        <v>120</v>
      </c>
    </row>
    <row r="259" spans="1:16" x14ac:dyDescent="0.3">
      <c r="A259" s="1" t="s">
        <v>16</v>
      </c>
      <c r="B259" s="1" t="s">
        <v>159</v>
      </c>
      <c r="C259" s="1" t="s">
        <v>750</v>
      </c>
      <c r="D259" s="1" t="s">
        <v>163</v>
      </c>
      <c r="E259" s="1" t="s">
        <v>358</v>
      </c>
      <c r="F259" s="1">
        <v>50893</v>
      </c>
      <c r="G259" s="1" t="s">
        <v>751</v>
      </c>
      <c r="H259" s="1" t="s">
        <v>752</v>
      </c>
      <c r="I259" s="1" t="s">
        <v>753</v>
      </c>
      <c r="J259" s="1" t="s">
        <v>22</v>
      </c>
      <c r="L259" s="2">
        <v>46539</v>
      </c>
      <c r="M259" s="4">
        <v>3800000</v>
      </c>
      <c r="N259" s="1" t="s">
        <v>23</v>
      </c>
      <c r="O259" s="3">
        <v>115</v>
      </c>
    </row>
    <row r="260" spans="1:16" x14ac:dyDescent="0.3">
      <c r="A260" s="1" t="s">
        <v>16</v>
      </c>
      <c r="B260" s="1" t="s">
        <v>159</v>
      </c>
      <c r="C260" s="1" t="s">
        <v>750</v>
      </c>
      <c r="D260" s="1" t="s">
        <v>163</v>
      </c>
      <c r="E260" s="1" t="s">
        <v>358</v>
      </c>
      <c r="F260" s="1">
        <v>50894</v>
      </c>
      <c r="G260" s="1" t="s">
        <v>754</v>
      </c>
      <c r="H260" s="1" t="s">
        <v>755</v>
      </c>
      <c r="I260" s="1" t="s">
        <v>756</v>
      </c>
      <c r="J260" s="1" t="s">
        <v>32</v>
      </c>
      <c r="K260" s="1" t="s">
        <v>205</v>
      </c>
      <c r="L260" s="2">
        <v>46736</v>
      </c>
      <c r="M260" s="4">
        <v>6800000</v>
      </c>
      <c r="N260" s="1" t="s">
        <v>23</v>
      </c>
      <c r="O260" s="3">
        <v>115</v>
      </c>
    </row>
    <row r="261" spans="1:16" x14ac:dyDescent="0.3">
      <c r="A261" s="1" t="s">
        <v>16</v>
      </c>
      <c r="B261" s="1" t="s">
        <v>159</v>
      </c>
      <c r="C261" s="1" t="s">
        <v>750</v>
      </c>
      <c r="D261" s="1" t="s">
        <v>163</v>
      </c>
      <c r="E261" s="1" t="s">
        <v>358</v>
      </c>
      <c r="F261" s="1">
        <v>50895</v>
      </c>
      <c r="G261" s="1" t="s">
        <v>757</v>
      </c>
      <c r="H261" s="1" t="s">
        <v>758</v>
      </c>
      <c r="I261" s="1" t="s">
        <v>759</v>
      </c>
      <c r="J261" s="1" t="s">
        <v>32</v>
      </c>
      <c r="K261" s="1" t="s">
        <v>33</v>
      </c>
      <c r="L261" s="2">
        <v>46751</v>
      </c>
      <c r="M261" s="4">
        <v>25000000</v>
      </c>
      <c r="N261" s="1" t="s">
        <v>23</v>
      </c>
      <c r="O261" s="3">
        <v>161</v>
      </c>
    </row>
    <row r="262" spans="1:16" x14ac:dyDescent="0.3">
      <c r="A262" s="1" t="s">
        <v>16</v>
      </c>
      <c r="B262" s="1" t="s">
        <v>159</v>
      </c>
      <c r="C262" s="1" t="s">
        <v>51</v>
      </c>
      <c r="D262" s="1" t="s">
        <v>162</v>
      </c>
      <c r="E262" s="1" t="s">
        <v>18</v>
      </c>
      <c r="F262" s="1">
        <v>50896</v>
      </c>
      <c r="G262" s="1" t="s">
        <v>760</v>
      </c>
      <c r="H262" s="1" t="s">
        <v>761</v>
      </c>
      <c r="I262" s="1" t="s">
        <v>762</v>
      </c>
      <c r="J262" s="1" t="s">
        <v>22</v>
      </c>
      <c r="L262" s="2">
        <v>47848</v>
      </c>
      <c r="M262" s="4">
        <v>1240000</v>
      </c>
      <c r="N262" s="1" t="s">
        <v>23</v>
      </c>
      <c r="O262" s="3">
        <v>138</v>
      </c>
    </row>
    <row r="263" spans="1:16" x14ac:dyDescent="0.3">
      <c r="A263" s="1" t="s">
        <v>16</v>
      </c>
      <c r="B263" s="1" t="s">
        <v>159</v>
      </c>
      <c r="C263" s="1" t="s">
        <v>750</v>
      </c>
      <c r="D263" s="1" t="s">
        <v>163</v>
      </c>
      <c r="E263" s="1" t="s">
        <v>358</v>
      </c>
      <c r="F263" s="1">
        <v>50897</v>
      </c>
      <c r="G263" s="1" t="s">
        <v>763</v>
      </c>
      <c r="H263" s="1" t="s">
        <v>764</v>
      </c>
      <c r="I263" s="1" t="s">
        <v>765</v>
      </c>
      <c r="J263" s="1" t="s">
        <v>32</v>
      </c>
      <c r="K263" s="1" t="s">
        <v>205</v>
      </c>
      <c r="L263" s="2">
        <v>47453</v>
      </c>
      <c r="M263" s="4">
        <v>18700000</v>
      </c>
      <c r="N263" s="1" t="s">
        <v>23</v>
      </c>
      <c r="O263" s="3">
        <v>161</v>
      </c>
    </row>
    <row r="264" spans="1:16" x14ac:dyDescent="0.3">
      <c r="A264" s="1" t="s">
        <v>16</v>
      </c>
      <c r="B264" s="1" t="s">
        <v>159</v>
      </c>
      <c r="C264" s="1" t="s">
        <v>51</v>
      </c>
      <c r="D264" s="1" t="s">
        <v>162</v>
      </c>
      <c r="E264" s="1" t="s">
        <v>18</v>
      </c>
      <c r="F264" s="1">
        <v>50898</v>
      </c>
      <c r="G264" s="1" t="s">
        <v>766</v>
      </c>
      <c r="H264" s="1" t="s">
        <v>767</v>
      </c>
      <c r="I264" s="1" t="s">
        <v>768</v>
      </c>
      <c r="J264" s="1" t="s">
        <v>22</v>
      </c>
      <c r="L264" s="2">
        <v>47848</v>
      </c>
      <c r="M264" s="4">
        <v>1560000</v>
      </c>
      <c r="N264" s="1" t="s">
        <v>23</v>
      </c>
      <c r="O264" s="3">
        <v>138</v>
      </c>
    </row>
    <row r="265" spans="1:16" x14ac:dyDescent="0.3">
      <c r="A265" s="1" t="s">
        <v>16</v>
      </c>
      <c r="B265" s="1" t="s">
        <v>159</v>
      </c>
      <c r="C265" s="1" t="s">
        <v>51</v>
      </c>
      <c r="D265" s="1" t="s">
        <v>162</v>
      </c>
      <c r="E265" s="1" t="s">
        <v>18</v>
      </c>
      <c r="F265" s="1">
        <v>50899</v>
      </c>
      <c r="G265" s="1" t="s">
        <v>769</v>
      </c>
      <c r="H265" s="1" t="s">
        <v>770</v>
      </c>
      <c r="I265" s="1" t="s">
        <v>771</v>
      </c>
      <c r="J265" s="1" t="s">
        <v>22</v>
      </c>
      <c r="L265" s="2">
        <v>47848</v>
      </c>
      <c r="M265" s="4">
        <v>850000</v>
      </c>
      <c r="N265" s="1" t="s">
        <v>23</v>
      </c>
      <c r="O265" s="3">
        <v>138</v>
      </c>
    </row>
    <row r="266" spans="1:16" x14ac:dyDescent="0.3">
      <c r="A266" s="1" t="s">
        <v>16</v>
      </c>
      <c r="B266" s="1" t="s">
        <v>159</v>
      </c>
      <c r="C266" s="1" t="s">
        <v>232</v>
      </c>
      <c r="D266" s="1" t="s">
        <v>161</v>
      </c>
      <c r="E266" s="1" t="s">
        <v>28</v>
      </c>
      <c r="F266" s="1">
        <v>50901</v>
      </c>
      <c r="G266" s="1" t="s">
        <v>772</v>
      </c>
      <c r="H266" s="1" t="s">
        <v>773</v>
      </c>
      <c r="I266" s="1" t="s">
        <v>774</v>
      </c>
      <c r="J266" s="1" t="s">
        <v>32</v>
      </c>
      <c r="K266" s="1" t="s">
        <v>33</v>
      </c>
      <c r="L266" s="2">
        <v>46730</v>
      </c>
      <c r="M266" s="4">
        <v>4198373</v>
      </c>
      <c r="N266" s="1" t="s">
        <v>23</v>
      </c>
      <c r="O266" s="3">
        <v>69</v>
      </c>
    </row>
    <row r="267" spans="1:16" x14ac:dyDescent="0.3">
      <c r="A267" s="1" t="s">
        <v>16</v>
      </c>
      <c r="B267" s="1" t="s">
        <v>159</v>
      </c>
      <c r="C267" s="1" t="s">
        <v>232</v>
      </c>
      <c r="D267" s="1" t="s">
        <v>161</v>
      </c>
      <c r="E267" s="1" t="s">
        <v>28</v>
      </c>
      <c r="F267" s="1">
        <v>50902</v>
      </c>
      <c r="G267" s="1" t="s">
        <v>775</v>
      </c>
      <c r="H267" s="1" t="s">
        <v>776</v>
      </c>
      <c r="I267" s="1" t="s">
        <v>774</v>
      </c>
      <c r="J267" s="1" t="s">
        <v>32</v>
      </c>
      <c r="K267" s="1" t="s">
        <v>46</v>
      </c>
      <c r="L267" s="2">
        <v>46975</v>
      </c>
      <c r="M267" s="4">
        <v>12691189</v>
      </c>
      <c r="N267" s="1" t="s">
        <v>23</v>
      </c>
      <c r="O267" s="3">
        <v>230</v>
      </c>
      <c r="P267" s="3">
        <v>69</v>
      </c>
    </row>
    <row r="268" spans="1:16" x14ac:dyDescent="0.3">
      <c r="A268" s="1" t="s">
        <v>16</v>
      </c>
      <c r="B268" s="1" t="s">
        <v>159</v>
      </c>
      <c r="C268" s="1" t="s">
        <v>232</v>
      </c>
      <c r="D268" s="1" t="s">
        <v>161</v>
      </c>
      <c r="E268" s="1" t="s">
        <v>28</v>
      </c>
      <c r="F268" s="1">
        <v>50903</v>
      </c>
      <c r="G268" s="1" t="s">
        <v>777</v>
      </c>
      <c r="H268" s="1" t="s">
        <v>778</v>
      </c>
      <c r="I268" s="1" t="s">
        <v>774</v>
      </c>
      <c r="J268" s="1" t="s">
        <v>32</v>
      </c>
      <c r="K268" s="1" t="s">
        <v>33</v>
      </c>
      <c r="L268" s="2">
        <v>46527</v>
      </c>
      <c r="M268" s="4">
        <v>6176724</v>
      </c>
      <c r="N268" s="1" t="s">
        <v>23</v>
      </c>
      <c r="O268" s="3">
        <v>230</v>
      </c>
      <c r="P268" s="3">
        <v>69</v>
      </c>
    </row>
    <row r="269" spans="1:16" x14ac:dyDescent="0.3">
      <c r="A269" s="1" t="s">
        <v>16</v>
      </c>
      <c r="B269" s="1" t="s">
        <v>159</v>
      </c>
      <c r="C269" s="1" t="s">
        <v>232</v>
      </c>
      <c r="D269" s="1" t="s">
        <v>161</v>
      </c>
      <c r="E269" s="1" t="s">
        <v>28</v>
      </c>
      <c r="F269" s="1">
        <v>50904</v>
      </c>
      <c r="G269" s="1" t="s">
        <v>779</v>
      </c>
      <c r="H269" s="1" t="s">
        <v>780</v>
      </c>
      <c r="I269" s="1" t="s">
        <v>781</v>
      </c>
      <c r="J269" s="1" t="s">
        <v>32</v>
      </c>
      <c r="K269" s="1" t="s">
        <v>33</v>
      </c>
      <c r="L269" s="2">
        <v>46737</v>
      </c>
      <c r="M269" s="4">
        <v>20472109</v>
      </c>
      <c r="N269" s="1" t="s">
        <v>23</v>
      </c>
      <c r="O269" s="3">
        <v>69</v>
      </c>
    </row>
    <row r="270" spans="1:16" x14ac:dyDescent="0.3">
      <c r="A270" s="1" t="s">
        <v>16</v>
      </c>
      <c r="B270" s="1" t="s">
        <v>159</v>
      </c>
      <c r="C270" s="1" t="s">
        <v>232</v>
      </c>
      <c r="D270" s="1" t="s">
        <v>161</v>
      </c>
      <c r="E270" s="1" t="s">
        <v>28</v>
      </c>
      <c r="F270" s="1">
        <v>50905</v>
      </c>
      <c r="G270" s="1" t="s">
        <v>782</v>
      </c>
      <c r="H270" s="1" t="s">
        <v>783</v>
      </c>
      <c r="I270" s="1" t="s">
        <v>781</v>
      </c>
      <c r="J270" s="1" t="s">
        <v>32</v>
      </c>
      <c r="K270" s="1" t="s">
        <v>33</v>
      </c>
      <c r="L270" s="2">
        <v>46688</v>
      </c>
      <c r="M270" s="4">
        <v>12000000</v>
      </c>
      <c r="N270" s="1" t="s">
        <v>23</v>
      </c>
      <c r="O270" s="3">
        <v>69</v>
      </c>
    </row>
    <row r="271" spans="1:16" x14ac:dyDescent="0.3">
      <c r="A271" s="1" t="s">
        <v>16</v>
      </c>
      <c r="B271" s="1" t="s">
        <v>159</v>
      </c>
      <c r="C271" s="1" t="s">
        <v>232</v>
      </c>
      <c r="D271" s="1" t="s">
        <v>161</v>
      </c>
      <c r="E271" s="1" t="s">
        <v>28</v>
      </c>
      <c r="F271" s="1">
        <v>50906</v>
      </c>
      <c r="G271" s="1" t="s">
        <v>784</v>
      </c>
      <c r="H271" s="1" t="s">
        <v>785</v>
      </c>
      <c r="I271" s="1" t="s">
        <v>781</v>
      </c>
      <c r="J271" s="1" t="s">
        <v>32</v>
      </c>
      <c r="K271" s="1" t="s">
        <v>33</v>
      </c>
      <c r="L271" s="2">
        <v>46542</v>
      </c>
      <c r="M271" s="4">
        <v>9704596</v>
      </c>
      <c r="N271" s="1" t="s">
        <v>23</v>
      </c>
      <c r="O271" s="3">
        <v>69</v>
      </c>
    </row>
    <row r="272" spans="1:16" x14ac:dyDescent="0.3">
      <c r="A272" s="1" t="s">
        <v>16</v>
      </c>
      <c r="B272" s="1" t="s">
        <v>159</v>
      </c>
      <c r="C272" s="1" t="s">
        <v>232</v>
      </c>
      <c r="D272" s="1" t="s">
        <v>161</v>
      </c>
      <c r="E272" s="1" t="s">
        <v>28</v>
      </c>
      <c r="F272" s="1">
        <v>50907</v>
      </c>
      <c r="G272" s="1" t="s">
        <v>786</v>
      </c>
      <c r="H272" s="1" t="s">
        <v>787</v>
      </c>
      <c r="I272" s="1" t="s">
        <v>781</v>
      </c>
      <c r="J272" s="1" t="s">
        <v>32</v>
      </c>
      <c r="K272" s="1" t="s">
        <v>33</v>
      </c>
      <c r="L272" s="2">
        <v>46574</v>
      </c>
      <c r="M272" s="4">
        <v>9872330</v>
      </c>
      <c r="N272" s="1" t="s">
        <v>23</v>
      </c>
      <c r="O272" s="3">
        <v>69</v>
      </c>
    </row>
    <row r="273" spans="1:16" x14ac:dyDescent="0.3">
      <c r="A273" s="1" t="s">
        <v>16</v>
      </c>
      <c r="B273" s="1" t="s">
        <v>159</v>
      </c>
      <c r="C273" s="1" t="s">
        <v>232</v>
      </c>
      <c r="D273" s="1" t="s">
        <v>161</v>
      </c>
      <c r="E273" s="1" t="s">
        <v>28</v>
      </c>
      <c r="F273" s="1">
        <v>50908</v>
      </c>
      <c r="G273" s="1" t="s">
        <v>788</v>
      </c>
      <c r="H273" s="1" t="s">
        <v>789</v>
      </c>
      <c r="I273" s="1" t="s">
        <v>774</v>
      </c>
      <c r="J273" s="1" t="s">
        <v>32</v>
      </c>
      <c r="K273" s="1" t="s">
        <v>33</v>
      </c>
      <c r="L273" s="2">
        <v>46724</v>
      </c>
      <c r="M273" s="4">
        <v>7546418</v>
      </c>
      <c r="N273" s="1" t="s">
        <v>23</v>
      </c>
      <c r="O273" s="3">
        <v>69</v>
      </c>
    </row>
    <row r="274" spans="1:16" x14ac:dyDescent="0.3">
      <c r="A274" s="1" t="s">
        <v>16</v>
      </c>
      <c r="B274" s="1" t="s">
        <v>159</v>
      </c>
      <c r="C274" s="1" t="s">
        <v>170</v>
      </c>
      <c r="D274" s="1" t="s">
        <v>162</v>
      </c>
      <c r="E274" s="1" t="s">
        <v>18</v>
      </c>
      <c r="F274" s="1">
        <v>50909</v>
      </c>
      <c r="G274" s="1" t="s">
        <v>790</v>
      </c>
      <c r="H274" s="1" t="s">
        <v>791</v>
      </c>
      <c r="I274" s="1" t="s">
        <v>792</v>
      </c>
      <c r="J274" s="1" t="s">
        <v>32</v>
      </c>
      <c r="K274" s="1" t="s">
        <v>82</v>
      </c>
      <c r="L274" s="2">
        <v>46569</v>
      </c>
      <c r="M274" s="4">
        <v>2000000</v>
      </c>
      <c r="N274" s="1" t="s">
        <v>23</v>
      </c>
      <c r="O274" s="3">
        <v>69</v>
      </c>
    </row>
    <row r="275" spans="1:16" x14ac:dyDescent="0.3">
      <c r="A275" s="1" t="s">
        <v>16</v>
      </c>
      <c r="B275" s="1" t="s">
        <v>159</v>
      </c>
      <c r="C275" s="1" t="s">
        <v>750</v>
      </c>
      <c r="D275" s="1" t="s">
        <v>163</v>
      </c>
      <c r="E275" s="1" t="s">
        <v>358</v>
      </c>
      <c r="F275" s="1">
        <v>50910</v>
      </c>
      <c r="G275" s="1" t="s">
        <v>793</v>
      </c>
      <c r="H275" s="1" t="s">
        <v>794</v>
      </c>
      <c r="I275" s="1" t="s">
        <v>795</v>
      </c>
      <c r="J275" s="1" t="s">
        <v>796</v>
      </c>
      <c r="L275" s="2">
        <v>47818</v>
      </c>
      <c r="M275" s="4">
        <v>12000000</v>
      </c>
      <c r="N275" s="1" t="s">
        <v>23</v>
      </c>
      <c r="O275" s="3">
        <v>230</v>
      </c>
      <c r="P275" s="3">
        <v>115</v>
      </c>
    </row>
    <row r="276" spans="1:16" x14ac:dyDescent="0.3">
      <c r="A276" s="1" t="s">
        <v>16</v>
      </c>
      <c r="B276" s="1" t="s">
        <v>159</v>
      </c>
      <c r="C276" s="1" t="s">
        <v>170</v>
      </c>
      <c r="D276" s="1" t="s">
        <v>162</v>
      </c>
      <c r="E276" s="1" t="s">
        <v>18</v>
      </c>
      <c r="F276" s="1">
        <v>50912</v>
      </c>
      <c r="G276" s="1" t="s">
        <v>797</v>
      </c>
      <c r="H276" s="1" t="s">
        <v>798</v>
      </c>
      <c r="I276" s="1" t="s">
        <v>799</v>
      </c>
      <c r="J276" s="1" t="s">
        <v>32</v>
      </c>
      <c r="K276" s="1" t="s">
        <v>82</v>
      </c>
      <c r="L276" s="2">
        <v>46569</v>
      </c>
      <c r="M276" s="4">
        <v>2000000</v>
      </c>
      <c r="N276" s="1" t="s">
        <v>23</v>
      </c>
      <c r="O276" s="3">
        <v>69</v>
      </c>
    </row>
    <row r="277" spans="1:16" x14ac:dyDescent="0.3">
      <c r="A277" s="1" t="s">
        <v>16</v>
      </c>
      <c r="B277" s="1" t="s">
        <v>159</v>
      </c>
      <c r="C277" s="1" t="s">
        <v>170</v>
      </c>
      <c r="D277" s="1" t="s">
        <v>162</v>
      </c>
      <c r="E277" s="1" t="s">
        <v>18</v>
      </c>
      <c r="F277" s="1">
        <v>50914</v>
      </c>
      <c r="G277" s="1" t="s">
        <v>800</v>
      </c>
      <c r="H277" s="1" t="s">
        <v>801</v>
      </c>
      <c r="I277" s="1" t="s">
        <v>802</v>
      </c>
      <c r="J277" s="1" t="s">
        <v>32</v>
      </c>
      <c r="K277" s="1" t="s">
        <v>46</v>
      </c>
      <c r="L277" s="2">
        <v>47848</v>
      </c>
      <c r="M277" s="4">
        <v>22200000</v>
      </c>
      <c r="N277" s="1" t="s">
        <v>23</v>
      </c>
      <c r="O277" s="3">
        <v>69</v>
      </c>
    </row>
    <row r="278" spans="1:16" x14ac:dyDescent="0.3">
      <c r="A278" s="1" t="s">
        <v>16</v>
      </c>
      <c r="B278" s="1" t="s">
        <v>159</v>
      </c>
      <c r="C278" s="1" t="s">
        <v>170</v>
      </c>
      <c r="D278" s="1" t="s">
        <v>162</v>
      </c>
      <c r="E278" s="1" t="s">
        <v>18</v>
      </c>
      <c r="F278" s="1">
        <v>50915</v>
      </c>
      <c r="G278" s="1" t="s">
        <v>803</v>
      </c>
      <c r="H278" s="1" t="s">
        <v>804</v>
      </c>
      <c r="I278" s="1" t="s">
        <v>805</v>
      </c>
      <c r="J278" s="1" t="s">
        <v>32</v>
      </c>
      <c r="K278" s="1" t="s">
        <v>33</v>
      </c>
      <c r="L278" s="2">
        <v>47848</v>
      </c>
      <c r="M278" s="4">
        <v>13000000</v>
      </c>
      <c r="N278" s="1" t="s">
        <v>23</v>
      </c>
      <c r="O278" s="3">
        <v>69</v>
      </c>
    </row>
    <row r="279" spans="1:16" x14ac:dyDescent="0.3">
      <c r="A279" s="1" t="s">
        <v>16</v>
      </c>
      <c r="B279" s="1" t="s">
        <v>159</v>
      </c>
      <c r="C279" s="1" t="s">
        <v>170</v>
      </c>
      <c r="D279" s="1" t="s">
        <v>162</v>
      </c>
      <c r="E279" s="1" t="s">
        <v>18</v>
      </c>
      <c r="F279" s="1">
        <v>50916</v>
      </c>
      <c r="G279" s="1" t="s">
        <v>806</v>
      </c>
      <c r="H279" s="1" t="s">
        <v>807</v>
      </c>
      <c r="I279" s="1" t="s">
        <v>808</v>
      </c>
      <c r="J279" s="1" t="s">
        <v>32</v>
      </c>
      <c r="K279" s="1" t="s">
        <v>33</v>
      </c>
      <c r="L279" s="2">
        <v>47848</v>
      </c>
      <c r="M279" s="4">
        <v>6000000</v>
      </c>
      <c r="N279" s="1" t="s">
        <v>23</v>
      </c>
      <c r="O279" s="3">
        <v>69</v>
      </c>
    </row>
    <row r="280" spans="1:16" x14ac:dyDescent="0.3">
      <c r="A280" s="1" t="s">
        <v>16</v>
      </c>
      <c r="B280" s="1" t="s">
        <v>159</v>
      </c>
      <c r="C280" s="1" t="s">
        <v>170</v>
      </c>
      <c r="D280" s="1" t="s">
        <v>162</v>
      </c>
      <c r="E280" s="1" t="s">
        <v>18</v>
      </c>
      <c r="F280" s="1">
        <v>50917</v>
      </c>
      <c r="G280" s="1" t="s">
        <v>809</v>
      </c>
      <c r="H280" s="1" t="s">
        <v>810</v>
      </c>
      <c r="I280" s="1" t="s">
        <v>811</v>
      </c>
      <c r="J280" s="1" t="s">
        <v>32</v>
      </c>
      <c r="K280" s="1" t="s">
        <v>33</v>
      </c>
      <c r="L280" s="2">
        <v>47848</v>
      </c>
      <c r="M280" s="4">
        <v>5000000</v>
      </c>
      <c r="N280" s="1" t="s">
        <v>23</v>
      </c>
      <c r="O280" s="3">
        <v>69</v>
      </c>
    </row>
    <row r="281" spans="1:16" x14ac:dyDescent="0.3">
      <c r="A281" s="1" t="s">
        <v>16</v>
      </c>
      <c r="B281" s="1" t="s">
        <v>159</v>
      </c>
      <c r="C281" s="1" t="s">
        <v>170</v>
      </c>
      <c r="D281" s="1" t="s">
        <v>162</v>
      </c>
      <c r="E281" s="1" t="s">
        <v>18</v>
      </c>
      <c r="F281" s="1">
        <v>50918</v>
      </c>
      <c r="G281" s="1" t="s">
        <v>812</v>
      </c>
      <c r="H281" s="1" t="s">
        <v>813</v>
      </c>
      <c r="I281" s="1" t="s">
        <v>814</v>
      </c>
      <c r="J281" s="1" t="s">
        <v>32</v>
      </c>
      <c r="K281" s="1" t="s">
        <v>33</v>
      </c>
      <c r="L281" s="2">
        <v>47848</v>
      </c>
      <c r="M281" s="4">
        <v>7000000</v>
      </c>
      <c r="N281" s="1" t="s">
        <v>23</v>
      </c>
      <c r="O281" s="3">
        <v>69</v>
      </c>
    </row>
    <row r="282" spans="1:16" x14ac:dyDescent="0.3">
      <c r="A282" s="1" t="s">
        <v>16</v>
      </c>
      <c r="B282" s="1" t="s">
        <v>159</v>
      </c>
      <c r="C282" s="1" t="s">
        <v>170</v>
      </c>
      <c r="D282" s="1" t="s">
        <v>162</v>
      </c>
      <c r="E282" s="1" t="s">
        <v>18</v>
      </c>
      <c r="F282" s="1">
        <v>50919</v>
      </c>
      <c r="G282" s="1" t="s">
        <v>815</v>
      </c>
      <c r="H282" s="1" t="s">
        <v>816</v>
      </c>
      <c r="I282" s="1" t="s">
        <v>817</v>
      </c>
      <c r="J282" s="1" t="s">
        <v>32</v>
      </c>
      <c r="K282" s="1" t="s">
        <v>33</v>
      </c>
      <c r="L282" s="2">
        <v>47848</v>
      </c>
      <c r="M282" s="4">
        <v>5000000</v>
      </c>
      <c r="N282" s="1" t="s">
        <v>23</v>
      </c>
      <c r="O282" s="3">
        <v>69</v>
      </c>
    </row>
    <row r="283" spans="1:16" x14ac:dyDescent="0.3">
      <c r="A283" s="1" t="s">
        <v>16</v>
      </c>
      <c r="B283" s="1" t="s">
        <v>159</v>
      </c>
      <c r="C283" s="1" t="s">
        <v>170</v>
      </c>
      <c r="D283" s="1" t="s">
        <v>162</v>
      </c>
      <c r="E283" s="1" t="s">
        <v>18</v>
      </c>
      <c r="F283" s="1">
        <v>50920</v>
      </c>
      <c r="G283" s="1" t="s">
        <v>818</v>
      </c>
      <c r="H283" s="1" t="s">
        <v>819</v>
      </c>
      <c r="I283" s="1" t="s">
        <v>820</v>
      </c>
      <c r="J283" s="1" t="s">
        <v>32</v>
      </c>
      <c r="K283" s="1" t="s">
        <v>33</v>
      </c>
      <c r="L283" s="2">
        <v>47848</v>
      </c>
      <c r="M283" s="4">
        <v>12000000</v>
      </c>
      <c r="N283" s="1" t="s">
        <v>23</v>
      </c>
      <c r="O283" s="3">
        <v>69</v>
      </c>
    </row>
    <row r="284" spans="1:16" x14ac:dyDescent="0.3">
      <c r="A284" s="1" t="s">
        <v>16</v>
      </c>
      <c r="B284" s="1" t="s">
        <v>159</v>
      </c>
      <c r="C284" s="1" t="s">
        <v>170</v>
      </c>
      <c r="D284" s="1" t="s">
        <v>162</v>
      </c>
      <c r="E284" s="1" t="s">
        <v>18</v>
      </c>
      <c r="F284" s="1">
        <v>50921</v>
      </c>
      <c r="G284" s="1" t="s">
        <v>821</v>
      </c>
      <c r="H284" s="1" t="s">
        <v>822</v>
      </c>
      <c r="I284" s="1" t="s">
        <v>823</v>
      </c>
      <c r="J284" s="1" t="s">
        <v>32</v>
      </c>
      <c r="K284" s="1" t="s">
        <v>82</v>
      </c>
      <c r="L284" s="2">
        <v>47848</v>
      </c>
      <c r="M284" s="4">
        <v>1000000</v>
      </c>
      <c r="N284" s="1" t="s">
        <v>23</v>
      </c>
      <c r="O284" s="3">
        <v>69</v>
      </c>
    </row>
    <row r="285" spans="1:16" x14ac:dyDescent="0.3">
      <c r="A285" s="1" t="s">
        <v>16</v>
      </c>
      <c r="B285" s="1" t="s">
        <v>159</v>
      </c>
      <c r="C285" s="1" t="s">
        <v>224</v>
      </c>
      <c r="D285" s="1" t="s">
        <v>164</v>
      </c>
      <c r="E285" s="1" t="s">
        <v>56</v>
      </c>
      <c r="F285" s="1">
        <v>50922</v>
      </c>
      <c r="G285" s="1" t="s">
        <v>824</v>
      </c>
      <c r="H285" s="1" t="s">
        <v>825</v>
      </c>
      <c r="I285" s="1" t="s">
        <v>826</v>
      </c>
      <c r="J285" s="1" t="s">
        <v>32</v>
      </c>
      <c r="K285" s="1" t="s">
        <v>82</v>
      </c>
      <c r="L285" s="2">
        <v>46605</v>
      </c>
      <c r="M285" s="4">
        <v>5106617</v>
      </c>
      <c r="N285" s="1" t="s">
        <v>23</v>
      </c>
      <c r="O285" s="3">
        <v>230</v>
      </c>
    </row>
    <row r="286" spans="1:16" x14ac:dyDescent="0.3">
      <c r="A286" s="1" t="s">
        <v>16</v>
      </c>
      <c r="B286" s="1" t="s">
        <v>159</v>
      </c>
      <c r="C286" s="1" t="s">
        <v>224</v>
      </c>
      <c r="D286" s="1" t="s">
        <v>164</v>
      </c>
      <c r="E286" s="1" t="s">
        <v>56</v>
      </c>
      <c r="F286" s="1">
        <v>50923</v>
      </c>
      <c r="G286" s="1" t="s">
        <v>827</v>
      </c>
      <c r="H286" s="1" t="s">
        <v>828</v>
      </c>
      <c r="I286" s="1" t="s">
        <v>829</v>
      </c>
      <c r="J286" s="1" t="s">
        <v>32</v>
      </c>
      <c r="K286" s="1" t="s">
        <v>33</v>
      </c>
      <c r="L286" s="2">
        <v>48429</v>
      </c>
      <c r="M286" s="4">
        <v>21561988</v>
      </c>
      <c r="N286" s="1" t="s">
        <v>23</v>
      </c>
      <c r="O286" s="3">
        <v>69</v>
      </c>
    </row>
    <row r="287" spans="1:16" x14ac:dyDescent="0.3">
      <c r="A287" s="1" t="s">
        <v>16</v>
      </c>
      <c r="B287" s="1" t="s">
        <v>159</v>
      </c>
      <c r="C287" s="1" t="s">
        <v>224</v>
      </c>
      <c r="D287" s="1" t="s">
        <v>164</v>
      </c>
      <c r="E287" s="1" t="s">
        <v>56</v>
      </c>
      <c r="F287" s="1">
        <v>50924</v>
      </c>
      <c r="G287" s="1" t="s">
        <v>830</v>
      </c>
      <c r="H287" s="1" t="s">
        <v>831</v>
      </c>
      <c r="I287" s="1" t="s">
        <v>832</v>
      </c>
      <c r="J287" s="1" t="s">
        <v>32</v>
      </c>
      <c r="K287" s="1" t="s">
        <v>33</v>
      </c>
      <c r="L287" s="2">
        <v>48429</v>
      </c>
      <c r="M287" s="4">
        <v>21561988</v>
      </c>
      <c r="N287" s="1" t="s">
        <v>23</v>
      </c>
      <c r="O287" s="3">
        <v>69</v>
      </c>
    </row>
    <row r="288" spans="1:16" x14ac:dyDescent="0.3">
      <c r="A288" s="1" t="s">
        <v>16</v>
      </c>
      <c r="B288" s="1" t="s">
        <v>159</v>
      </c>
      <c r="C288" s="1" t="s">
        <v>224</v>
      </c>
      <c r="D288" s="1" t="s">
        <v>164</v>
      </c>
      <c r="E288" s="1" t="s">
        <v>56</v>
      </c>
      <c r="F288" s="1">
        <v>50925</v>
      </c>
      <c r="G288" s="1" t="s">
        <v>833</v>
      </c>
      <c r="H288" s="1" t="s">
        <v>834</v>
      </c>
      <c r="I288" s="1" t="s">
        <v>832</v>
      </c>
      <c r="J288" s="1" t="s">
        <v>32</v>
      </c>
      <c r="K288" s="1" t="s">
        <v>33</v>
      </c>
      <c r="L288" s="2">
        <v>48156</v>
      </c>
      <c r="M288" s="4">
        <v>6316509</v>
      </c>
      <c r="N288" s="1" t="s">
        <v>23</v>
      </c>
      <c r="O288" s="3">
        <v>69</v>
      </c>
    </row>
    <row r="289" spans="1:16" x14ac:dyDescent="0.3">
      <c r="A289" s="1" t="s">
        <v>16</v>
      </c>
      <c r="B289" s="1" t="s">
        <v>159</v>
      </c>
      <c r="C289" s="1" t="s">
        <v>224</v>
      </c>
      <c r="D289" s="1" t="s">
        <v>164</v>
      </c>
      <c r="E289" s="1" t="s">
        <v>56</v>
      </c>
      <c r="F289" s="1">
        <v>50926</v>
      </c>
      <c r="G289" s="1" t="s">
        <v>835</v>
      </c>
      <c r="H289" s="1" t="s">
        <v>836</v>
      </c>
      <c r="I289" s="1" t="s">
        <v>832</v>
      </c>
      <c r="J289" s="1" t="s">
        <v>32</v>
      </c>
      <c r="K289" s="1" t="s">
        <v>33</v>
      </c>
      <c r="L289" s="2">
        <v>48592</v>
      </c>
      <c r="M289" s="4">
        <v>2548543</v>
      </c>
      <c r="N289" s="1" t="s">
        <v>23</v>
      </c>
      <c r="O289" s="3">
        <v>69</v>
      </c>
    </row>
    <row r="290" spans="1:16" x14ac:dyDescent="0.3">
      <c r="A290" s="1" t="s">
        <v>16</v>
      </c>
      <c r="B290" s="1" t="s">
        <v>159</v>
      </c>
      <c r="C290" s="1" t="s">
        <v>837</v>
      </c>
      <c r="D290" s="1" t="s">
        <v>163</v>
      </c>
      <c r="E290" s="1" t="s">
        <v>130</v>
      </c>
      <c r="F290" s="1">
        <v>50927</v>
      </c>
      <c r="G290" s="1" t="s">
        <v>838</v>
      </c>
      <c r="H290" s="1" t="s">
        <v>839</v>
      </c>
      <c r="I290" s="1" t="s">
        <v>840</v>
      </c>
      <c r="J290" s="1" t="s">
        <v>32</v>
      </c>
      <c r="K290" s="1" t="s">
        <v>33</v>
      </c>
      <c r="L290" s="2">
        <v>46752</v>
      </c>
      <c r="M290" s="4">
        <v>50800000</v>
      </c>
      <c r="N290" s="1" t="s">
        <v>23</v>
      </c>
      <c r="O290" s="3">
        <v>500</v>
      </c>
    </row>
    <row r="291" spans="1:16" x14ac:dyDescent="0.3">
      <c r="A291" s="1" t="s">
        <v>16</v>
      </c>
      <c r="B291" s="1" t="s">
        <v>159</v>
      </c>
      <c r="C291" s="1" t="s">
        <v>837</v>
      </c>
      <c r="D291" s="1" t="s">
        <v>163</v>
      </c>
      <c r="E291" s="1" t="s">
        <v>130</v>
      </c>
      <c r="F291" s="1">
        <v>50928</v>
      </c>
      <c r="G291" s="1" t="s">
        <v>841</v>
      </c>
      <c r="H291" s="1" t="s">
        <v>842</v>
      </c>
      <c r="I291" s="1" t="s">
        <v>843</v>
      </c>
      <c r="J291" s="1" t="s">
        <v>22</v>
      </c>
      <c r="L291" s="2">
        <v>46844</v>
      </c>
      <c r="M291" s="4">
        <v>7200000</v>
      </c>
      <c r="N291" s="1" t="s">
        <v>23</v>
      </c>
      <c r="O291" s="3">
        <v>115</v>
      </c>
      <c r="P291" s="3">
        <v>115</v>
      </c>
    </row>
    <row r="292" spans="1:16" x14ac:dyDescent="0.3">
      <c r="A292" s="1" t="s">
        <v>16</v>
      </c>
      <c r="B292" s="1" t="s">
        <v>159</v>
      </c>
      <c r="C292" s="1" t="s">
        <v>349</v>
      </c>
      <c r="D292" s="1" t="s">
        <v>163</v>
      </c>
      <c r="E292" s="1" t="s">
        <v>350</v>
      </c>
      <c r="F292" s="1">
        <v>50929</v>
      </c>
      <c r="G292" s="1" t="s">
        <v>844</v>
      </c>
      <c r="H292" s="1" t="s">
        <v>845</v>
      </c>
      <c r="I292" s="1" t="s">
        <v>846</v>
      </c>
      <c r="J292" s="1" t="s">
        <v>32</v>
      </c>
      <c r="K292" s="1" t="s">
        <v>33</v>
      </c>
      <c r="L292" s="2">
        <v>46752</v>
      </c>
      <c r="M292" s="4">
        <v>84000000</v>
      </c>
      <c r="N292" s="1" t="s">
        <v>23</v>
      </c>
      <c r="O292" s="3">
        <v>500</v>
      </c>
      <c r="P292" s="3">
        <v>69</v>
      </c>
    </row>
    <row r="293" spans="1:16" x14ac:dyDescent="0.3">
      <c r="A293" s="1" t="s">
        <v>16</v>
      </c>
      <c r="B293" s="1" t="s">
        <v>159</v>
      </c>
      <c r="C293" s="1" t="s">
        <v>837</v>
      </c>
      <c r="D293" s="1" t="s">
        <v>163</v>
      </c>
      <c r="E293" s="1" t="s">
        <v>130</v>
      </c>
      <c r="F293" s="1">
        <v>50930</v>
      </c>
      <c r="G293" s="1" t="s">
        <v>847</v>
      </c>
      <c r="H293" s="1" t="s">
        <v>848</v>
      </c>
      <c r="I293" s="1" t="s">
        <v>849</v>
      </c>
      <c r="J293" s="1" t="s">
        <v>32</v>
      </c>
      <c r="K293" s="1" t="s">
        <v>205</v>
      </c>
      <c r="L293" s="2">
        <v>47270</v>
      </c>
      <c r="M293" s="4">
        <v>30600000</v>
      </c>
      <c r="N293" s="1" t="s">
        <v>23</v>
      </c>
      <c r="O293" s="3">
        <v>230</v>
      </c>
    </row>
    <row r="294" spans="1:16" x14ac:dyDescent="0.3">
      <c r="A294" s="1" t="s">
        <v>16</v>
      </c>
      <c r="B294" s="1" t="s">
        <v>159</v>
      </c>
      <c r="C294" s="1" t="s">
        <v>349</v>
      </c>
      <c r="D294" s="1" t="s">
        <v>163</v>
      </c>
      <c r="E294" s="1" t="s">
        <v>350</v>
      </c>
      <c r="F294" s="1">
        <v>50931</v>
      </c>
      <c r="G294" s="1" t="s">
        <v>850</v>
      </c>
      <c r="H294" s="1" t="s">
        <v>851</v>
      </c>
      <c r="I294" s="1" t="s">
        <v>846</v>
      </c>
      <c r="J294" s="1" t="s">
        <v>32</v>
      </c>
      <c r="K294" s="1" t="s">
        <v>33</v>
      </c>
      <c r="L294" s="2">
        <v>46752</v>
      </c>
      <c r="M294" s="4">
        <v>8300000</v>
      </c>
      <c r="N294" s="1" t="s">
        <v>23</v>
      </c>
      <c r="O294" s="3">
        <v>230</v>
      </c>
      <c r="P294" s="3">
        <v>69</v>
      </c>
    </row>
    <row r="295" spans="1:16" x14ac:dyDescent="0.3">
      <c r="A295" s="1" t="s">
        <v>16</v>
      </c>
      <c r="B295" s="1" t="s">
        <v>159</v>
      </c>
      <c r="C295" s="1" t="s">
        <v>349</v>
      </c>
      <c r="D295" s="1" t="s">
        <v>163</v>
      </c>
      <c r="E295" s="1" t="s">
        <v>417</v>
      </c>
      <c r="F295" s="1">
        <v>50932</v>
      </c>
      <c r="G295" s="1" t="s">
        <v>852</v>
      </c>
      <c r="H295" s="1" t="s">
        <v>853</v>
      </c>
      <c r="I295" s="1" t="s">
        <v>846</v>
      </c>
      <c r="J295" s="1" t="s">
        <v>32</v>
      </c>
      <c r="K295" s="1" t="s">
        <v>33</v>
      </c>
      <c r="L295" s="2">
        <v>46752</v>
      </c>
      <c r="M295" s="4">
        <v>35100000</v>
      </c>
      <c r="N295" s="1" t="s">
        <v>23</v>
      </c>
      <c r="O295" s="3">
        <v>500</v>
      </c>
      <c r="P295" s="3">
        <v>69</v>
      </c>
    </row>
    <row r="296" spans="1:16" x14ac:dyDescent="0.3">
      <c r="A296" s="1" t="s">
        <v>16</v>
      </c>
      <c r="B296" s="1" t="s">
        <v>159</v>
      </c>
      <c r="C296" s="1" t="s">
        <v>224</v>
      </c>
      <c r="D296" s="1" t="s">
        <v>164</v>
      </c>
      <c r="E296" s="1" t="s">
        <v>56</v>
      </c>
      <c r="F296" s="1">
        <v>50933</v>
      </c>
      <c r="G296" s="1" t="s">
        <v>854</v>
      </c>
      <c r="H296" s="1" t="s">
        <v>855</v>
      </c>
      <c r="I296" s="1" t="s">
        <v>856</v>
      </c>
      <c r="J296" s="1" t="s">
        <v>32</v>
      </c>
      <c r="K296" s="1" t="s">
        <v>205</v>
      </c>
      <c r="L296" s="2">
        <v>48187</v>
      </c>
      <c r="M296" s="4">
        <v>200000</v>
      </c>
      <c r="N296" s="1" t="s">
        <v>23</v>
      </c>
      <c r="O296" s="3">
        <v>69</v>
      </c>
    </row>
    <row r="297" spans="1:16" x14ac:dyDescent="0.3">
      <c r="A297" s="1" t="s">
        <v>16</v>
      </c>
      <c r="B297" s="1" t="s">
        <v>159</v>
      </c>
      <c r="C297" s="1" t="s">
        <v>349</v>
      </c>
      <c r="D297" s="1" t="s">
        <v>163</v>
      </c>
      <c r="E297" s="1" t="s">
        <v>350</v>
      </c>
      <c r="F297" s="1">
        <v>50934</v>
      </c>
      <c r="G297" s="1" t="s">
        <v>857</v>
      </c>
      <c r="H297" s="1" t="s">
        <v>858</v>
      </c>
      <c r="I297" s="1" t="s">
        <v>859</v>
      </c>
      <c r="J297" s="1" t="s">
        <v>22</v>
      </c>
      <c r="L297" s="2">
        <v>46905</v>
      </c>
      <c r="M297" s="4">
        <v>700000</v>
      </c>
      <c r="N297" s="1" t="s">
        <v>23</v>
      </c>
      <c r="O297" s="3">
        <v>230</v>
      </c>
    </row>
    <row r="298" spans="1:16" x14ac:dyDescent="0.3">
      <c r="A298" s="1" t="s">
        <v>16</v>
      </c>
      <c r="B298" s="1" t="s">
        <v>159</v>
      </c>
      <c r="C298" s="1" t="s">
        <v>224</v>
      </c>
      <c r="D298" s="1" t="s">
        <v>164</v>
      </c>
      <c r="E298" s="1" t="s">
        <v>56</v>
      </c>
      <c r="F298" s="1">
        <v>50935</v>
      </c>
      <c r="G298" s="1" t="s">
        <v>860</v>
      </c>
      <c r="H298" s="1" t="s">
        <v>861</v>
      </c>
      <c r="I298" s="1" t="s">
        <v>862</v>
      </c>
      <c r="J298" s="1" t="s">
        <v>32</v>
      </c>
      <c r="K298" s="1" t="s">
        <v>33</v>
      </c>
      <c r="L298" s="2">
        <v>46611</v>
      </c>
      <c r="M298" s="4">
        <v>2636106</v>
      </c>
      <c r="N298" s="1" t="s">
        <v>23</v>
      </c>
      <c r="O298" s="3">
        <v>230</v>
      </c>
    </row>
    <row r="299" spans="1:16" x14ac:dyDescent="0.3">
      <c r="A299" s="1" t="s">
        <v>16</v>
      </c>
      <c r="B299" s="1" t="s">
        <v>159</v>
      </c>
      <c r="C299" s="1" t="s">
        <v>349</v>
      </c>
      <c r="D299" s="1" t="s">
        <v>163</v>
      </c>
      <c r="E299" s="1" t="s">
        <v>350</v>
      </c>
      <c r="F299" s="1">
        <v>50936</v>
      </c>
      <c r="G299" s="1" t="s">
        <v>863</v>
      </c>
      <c r="H299" s="1" t="s">
        <v>864</v>
      </c>
      <c r="I299" s="1" t="s">
        <v>865</v>
      </c>
      <c r="J299" s="1" t="s">
        <v>22</v>
      </c>
      <c r="L299" s="2">
        <v>47832</v>
      </c>
      <c r="M299" s="4">
        <v>19500000</v>
      </c>
      <c r="N299" s="1" t="s">
        <v>23</v>
      </c>
      <c r="O299" s="3">
        <v>230</v>
      </c>
      <c r="P299" s="3">
        <v>138</v>
      </c>
    </row>
    <row r="300" spans="1:16" x14ac:dyDescent="0.3">
      <c r="A300" s="1" t="s">
        <v>16</v>
      </c>
      <c r="B300" s="1" t="s">
        <v>159</v>
      </c>
      <c r="C300" s="1" t="s">
        <v>349</v>
      </c>
      <c r="D300" s="1" t="s">
        <v>163</v>
      </c>
      <c r="E300" s="1" t="s">
        <v>350</v>
      </c>
      <c r="F300" s="1">
        <v>50937</v>
      </c>
      <c r="G300" s="1" t="s">
        <v>866</v>
      </c>
      <c r="H300" s="1" t="s">
        <v>867</v>
      </c>
      <c r="I300" s="1" t="s">
        <v>868</v>
      </c>
      <c r="J300" s="1" t="s">
        <v>22</v>
      </c>
      <c r="L300" s="2">
        <v>47270</v>
      </c>
      <c r="M300" s="4">
        <v>75700000</v>
      </c>
      <c r="N300" s="1" t="s">
        <v>23</v>
      </c>
      <c r="O300" s="3">
        <v>500</v>
      </c>
    </row>
    <row r="301" spans="1:16" x14ac:dyDescent="0.3">
      <c r="A301" s="1" t="s">
        <v>16</v>
      </c>
      <c r="B301" s="1" t="s">
        <v>159</v>
      </c>
      <c r="C301" s="1" t="s">
        <v>224</v>
      </c>
      <c r="D301" s="1" t="s">
        <v>164</v>
      </c>
      <c r="E301" s="1" t="s">
        <v>56</v>
      </c>
      <c r="F301" s="1">
        <v>50938</v>
      </c>
      <c r="G301" s="1" t="s">
        <v>869</v>
      </c>
      <c r="H301" s="1" t="s">
        <v>870</v>
      </c>
      <c r="I301" s="1" t="s">
        <v>871</v>
      </c>
      <c r="J301" s="1" t="s">
        <v>32</v>
      </c>
      <c r="K301" s="1" t="s">
        <v>33</v>
      </c>
      <c r="L301" s="2">
        <v>46653</v>
      </c>
      <c r="M301" s="4">
        <v>881946</v>
      </c>
      <c r="N301" s="1" t="s">
        <v>23</v>
      </c>
      <c r="O301" s="3">
        <v>115</v>
      </c>
    </row>
    <row r="302" spans="1:16" x14ac:dyDescent="0.3">
      <c r="A302" s="1" t="s">
        <v>16</v>
      </c>
      <c r="B302" s="1" t="s">
        <v>159</v>
      </c>
      <c r="C302" s="1" t="s">
        <v>349</v>
      </c>
      <c r="D302" s="1" t="s">
        <v>163</v>
      </c>
      <c r="E302" s="1" t="s">
        <v>350</v>
      </c>
      <c r="F302" s="1">
        <v>50939</v>
      </c>
      <c r="G302" s="1" t="s">
        <v>872</v>
      </c>
      <c r="H302" s="1" t="s">
        <v>873</v>
      </c>
      <c r="I302" s="1" t="s">
        <v>874</v>
      </c>
      <c r="J302" s="1" t="s">
        <v>22</v>
      </c>
      <c r="L302" s="2">
        <v>47177</v>
      </c>
      <c r="M302" s="4">
        <v>37600000</v>
      </c>
      <c r="N302" s="1" t="s">
        <v>23</v>
      </c>
      <c r="O302" s="3">
        <v>230</v>
      </c>
    </row>
    <row r="303" spans="1:16" x14ac:dyDescent="0.3">
      <c r="A303" s="1" t="s">
        <v>16</v>
      </c>
      <c r="B303" s="1" t="s">
        <v>159</v>
      </c>
      <c r="C303" s="1" t="s">
        <v>349</v>
      </c>
      <c r="D303" s="1" t="s">
        <v>163</v>
      </c>
      <c r="E303" s="1" t="s">
        <v>350</v>
      </c>
      <c r="F303" s="1">
        <v>50940</v>
      </c>
      <c r="G303" s="1" t="s">
        <v>875</v>
      </c>
      <c r="H303" s="1" t="s">
        <v>876</v>
      </c>
      <c r="I303" s="1" t="s">
        <v>877</v>
      </c>
      <c r="J303" s="1" t="s">
        <v>22</v>
      </c>
      <c r="L303" s="2">
        <v>46752</v>
      </c>
      <c r="M303" s="4">
        <v>59700000</v>
      </c>
      <c r="N303" s="1" t="s">
        <v>23</v>
      </c>
      <c r="O303" s="3">
        <v>500</v>
      </c>
    </row>
    <row r="304" spans="1:16" x14ac:dyDescent="0.3">
      <c r="A304" s="1" t="s">
        <v>16</v>
      </c>
      <c r="B304" s="1" t="s">
        <v>159</v>
      </c>
      <c r="C304" s="1" t="s">
        <v>224</v>
      </c>
      <c r="D304" s="1" t="s">
        <v>164</v>
      </c>
      <c r="E304" s="1" t="s">
        <v>56</v>
      </c>
      <c r="F304" s="1">
        <v>50941</v>
      </c>
      <c r="G304" s="1" t="s">
        <v>878</v>
      </c>
      <c r="H304" s="1" t="s">
        <v>879</v>
      </c>
      <c r="I304" s="1" t="s">
        <v>880</v>
      </c>
      <c r="J304" s="1" t="s">
        <v>32</v>
      </c>
      <c r="K304" s="1" t="s">
        <v>46</v>
      </c>
      <c r="L304" s="2">
        <v>47084</v>
      </c>
      <c r="M304" s="4">
        <v>9016911</v>
      </c>
      <c r="N304" s="1" t="s">
        <v>23</v>
      </c>
      <c r="O304" s="3">
        <v>69</v>
      </c>
    </row>
    <row r="305" spans="1:16" x14ac:dyDescent="0.3">
      <c r="A305" s="1" t="s">
        <v>16</v>
      </c>
      <c r="B305" s="1" t="s">
        <v>159</v>
      </c>
      <c r="C305" s="1" t="s">
        <v>349</v>
      </c>
      <c r="D305" s="1" t="s">
        <v>163</v>
      </c>
      <c r="E305" s="1" t="s">
        <v>350</v>
      </c>
      <c r="F305" s="1">
        <v>50942</v>
      </c>
      <c r="G305" s="1" t="s">
        <v>881</v>
      </c>
      <c r="H305" s="1" t="s">
        <v>882</v>
      </c>
      <c r="I305" s="1" t="s">
        <v>883</v>
      </c>
      <c r="J305" s="1" t="s">
        <v>22</v>
      </c>
      <c r="L305" s="2">
        <v>47832</v>
      </c>
      <c r="M305" s="4">
        <v>8000000</v>
      </c>
      <c r="N305" s="1" t="s">
        <v>23</v>
      </c>
      <c r="O305" s="3">
        <v>69</v>
      </c>
    </row>
    <row r="306" spans="1:16" x14ac:dyDescent="0.3">
      <c r="A306" s="1" t="s">
        <v>16</v>
      </c>
      <c r="B306" s="1" t="s">
        <v>159</v>
      </c>
      <c r="C306" s="1" t="s">
        <v>452</v>
      </c>
      <c r="D306" s="1" t="s">
        <v>164</v>
      </c>
      <c r="E306" s="1" t="s">
        <v>367</v>
      </c>
      <c r="F306" s="1">
        <v>50943</v>
      </c>
      <c r="G306" s="1" t="s">
        <v>884</v>
      </c>
      <c r="H306" s="1" t="s">
        <v>885</v>
      </c>
      <c r="I306" s="1" t="s">
        <v>886</v>
      </c>
      <c r="J306" s="1" t="s">
        <v>32</v>
      </c>
      <c r="K306" s="1" t="s">
        <v>205</v>
      </c>
      <c r="L306" s="2">
        <v>46752</v>
      </c>
      <c r="M306" s="4">
        <v>4075588</v>
      </c>
      <c r="N306" s="1" t="s">
        <v>23</v>
      </c>
      <c r="O306" s="3">
        <v>69</v>
      </c>
    </row>
    <row r="307" spans="1:16" x14ac:dyDescent="0.3">
      <c r="A307" s="1" t="s">
        <v>16</v>
      </c>
      <c r="B307" s="1" t="s">
        <v>159</v>
      </c>
      <c r="C307" s="1" t="s">
        <v>349</v>
      </c>
      <c r="D307" s="1" t="s">
        <v>163</v>
      </c>
      <c r="E307" s="1" t="s">
        <v>350</v>
      </c>
      <c r="F307" s="1">
        <v>50944</v>
      </c>
      <c r="G307" s="1" t="s">
        <v>887</v>
      </c>
      <c r="H307" s="1" t="s">
        <v>888</v>
      </c>
      <c r="I307" s="1" t="s">
        <v>889</v>
      </c>
      <c r="J307" s="1" t="s">
        <v>32</v>
      </c>
      <c r="K307" s="1" t="s">
        <v>205</v>
      </c>
      <c r="L307" s="2">
        <v>47041</v>
      </c>
      <c r="M307" s="4">
        <v>10900000</v>
      </c>
      <c r="N307" s="1" t="s">
        <v>23</v>
      </c>
      <c r="O307" s="3">
        <v>138</v>
      </c>
    </row>
    <row r="308" spans="1:16" x14ac:dyDescent="0.3">
      <c r="A308" s="1" t="s">
        <v>16</v>
      </c>
      <c r="B308" s="1" t="s">
        <v>159</v>
      </c>
      <c r="C308" s="1" t="s">
        <v>349</v>
      </c>
      <c r="D308" s="1" t="s">
        <v>163</v>
      </c>
      <c r="E308" s="1" t="s">
        <v>350</v>
      </c>
      <c r="F308" s="1">
        <v>50945</v>
      </c>
      <c r="G308" s="1" t="s">
        <v>890</v>
      </c>
      <c r="H308" s="1" t="s">
        <v>891</v>
      </c>
      <c r="I308" s="1" t="s">
        <v>892</v>
      </c>
      <c r="J308" s="1" t="s">
        <v>22</v>
      </c>
      <c r="L308" s="2">
        <v>47635</v>
      </c>
      <c r="M308" s="4">
        <v>75200000</v>
      </c>
      <c r="N308" s="1" t="s">
        <v>23</v>
      </c>
      <c r="O308" s="3">
        <v>500</v>
      </c>
    </row>
    <row r="309" spans="1:16" x14ac:dyDescent="0.3">
      <c r="A309" s="1" t="s">
        <v>16</v>
      </c>
      <c r="B309" s="1" t="s">
        <v>159</v>
      </c>
      <c r="C309" s="1" t="s">
        <v>349</v>
      </c>
      <c r="D309" s="1" t="s">
        <v>163</v>
      </c>
      <c r="E309" s="1" t="s">
        <v>350</v>
      </c>
      <c r="F309" s="1">
        <v>50946</v>
      </c>
      <c r="G309" s="1" t="s">
        <v>893</v>
      </c>
      <c r="H309" s="1" t="s">
        <v>894</v>
      </c>
      <c r="I309" s="1" t="s">
        <v>895</v>
      </c>
      <c r="J309" s="1" t="s">
        <v>22</v>
      </c>
      <c r="L309" s="2">
        <v>47239</v>
      </c>
      <c r="M309" s="4">
        <v>3800000</v>
      </c>
      <c r="N309" s="1" t="s">
        <v>23</v>
      </c>
      <c r="O309" s="3">
        <v>230</v>
      </c>
    </row>
    <row r="310" spans="1:16" x14ac:dyDescent="0.3">
      <c r="A310" s="1" t="s">
        <v>16</v>
      </c>
      <c r="B310" s="1" t="s">
        <v>159</v>
      </c>
      <c r="C310" s="1" t="s">
        <v>349</v>
      </c>
      <c r="D310" s="1" t="s">
        <v>163</v>
      </c>
      <c r="E310" s="1" t="s">
        <v>350</v>
      </c>
      <c r="F310" s="1">
        <v>50947</v>
      </c>
      <c r="G310" s="1" t="s">
        <v>896</v>
      </c>
      <c r="H310" s="1" t="s">
        <v>897</v>
      </c>
      <c r="I310" s="1" t="s">
        <v>898</v>
      </c>
      <c r="J310" s="1" t="s">
        <v>22</v>
      </c>
      <c r="L310" s="2">
        <v>47010</v>
      </c>
      <c r="M310" s="4">
        <v>2900000</v>
      </c>
      <c r="N310" s="1" t="s">
        <v>23</v>
      </c>
      <c r="O310" s="3">
        <v>230</v>
      </c>
    </row>
    <row r="311" spans="1:16" x14ac:dyDescent="0.3">
      <c r="A311" s="1" t="s">
        <v>16</v>
      </c>
      <c r="B311" s="1" t="s">
        <v>159</v>
      </c>
      <c r="C311" s="1" t="s">
        <v>452</v>
      </c>
      <c r="D311" s="1" t="s">
        <v>164</v>
      </c>
      <c r="E311" s="1" t="s">
        <v>367</v>
      </c>
      <c r="F311" s="1">
        <v>50948</v>
      </c>
      <c r="G311" s="1" t="s">
        <v>899</v>
      </c>
      <c r="H311" s="1" t="s">
        <v>900</v>
      </c>
      <c r="I311" s="1" t="s">
        <v>901</v>
      </c>
      <c r="J311" s="1" t="s">
        <v>22</v>
      </c>
      <c r="L311" s="2">
        <v>46752</v>
      </c>
      <c r="M311" s="4">
        <v>1919188</v>
      </c>
      <c r="N311" s="1" t="s">
        <v>23</v>
      </c>
      <c r="O311" s="3">
        <v>69</v>
      </c>
    </row>
    <row r="312" spans="1:16" x14ac:dyDescent="0.3">
      <c r="A312" s="1" t="s">
        <v>16</v>
      </c>
      <c r="B312" s="1" t="s">
        <v>159</v>
      </c>
      <c r="C312" s="1" t="s">
        <v>349</v>
      </c>
      <c r="D312" s="1" t="s">
        <v>163</v>
      </c>
      <c r="E312" s="1" t="s">
        <v>417</v>
      </c>
      <c r="F312" s="1">
        <v>50949</v>
      </c>
      <c r="G312" s="1" t="s">
        <v>902</v>
      </c>
      <c r="H312" s="1" t="s">
        <v>903</v>
      </c>
      <c r="I312" s="1" t="s">
        <v>904</v>
      </c>
      <c r="J312" s="1" t="s">
        <v>22</v>
      </c>
      <c r="L312" s="2">
        <v>47600</v>
      </c>
      <c r="M312" s="4">
        <v>63100002</v>
      </c>
      <c r="N312" s="1" t="s">
        <v>23</v>
      </c>
      <c r="O312" s="3">
        <v>230</v>
      </c>
      <c r="P312" s="3">
        <v>138</v>
      </c>
    </row>
    <row r="313" spans="1:16" x14ac:dyDescent="0.3">
      <c r="A313" s="1" t="s">
        <v>16</v>
      </c>
      <c r="B313" s="1" t="s">
        <v>159</v>
      </c>
      <c r="C313" s="1" t="s">
        <v>452</v>
      </c>
      <c r="D313" s="1" t="s">
        <v>164</v>
      </c>
      <c r="E313" s="1" t="s">
        <v>367</v>
      </c>
      <c r="F313" s="1">
        <v>50950</v>
      </c>
      <c r="G313" s="1" t="s">
        <v>905</v>
      </c>
      <c r="H313" s="1" t="s">
        <v>906</v>
      </c>
      <c r="I313" s="1" t="s">
        <v>907</v>
      </c>
      <c r="J313" s="1" t="s">
        <v>32</v>
      </c>
      <c r="K313" s="1" t="s">
        <v>33</v>
      </c>
      <c r="L313" s="2">
        <v>47118</v>
      </c>
      <c r="M313" s="4">
        <v>3603950</v>
      </c>
      <c r="N313" s="1" t="s">
        <v>23</v>
      </c>
      <c r="O313" s="3">
        <v>161</v>
      </c>
    </row>
    <row r="314" spans="1:16" x14ac:dyDescent="0.3">
      <c r="A314" s="1" t="s">
        <v>16</v>
      </c>
      <c r="B314" s="1" t="s">
        <v>159</v>
      </c>
      <c r="C314" s="1" t="s">
        <v>452</v>
      </c>
      <c r="D314" s="1" t="s">
        <v>164</v>
      </c>
      <c r="E314" s="1" t="s">
        <v>56</v>
      </c>
      <c r="F314" s="1">
        <v>50951</v>
      </c>
      <c r="G314" s="1" t="s">
        <v>908</v>
      </c>
      <c r="H314" s="1" t="s">
        <v>909</v>
      </c>
      <c r="I314" s="1" t="s">
        <v>910</v>
      </c>
      <c r="J314" s="1" t="s">
        <v>32</v>
      </c>
      <c r="K314" s="1" t="s">
        <v>205</v>
      </c>
      <c r="L314" s="2">
        <v>47118</v>
      </c>
      <c r="M314" s="4">
        <v>1781966</v>
      </c>
      <c r="N314" s="1" t="s">
        <v>23</v>
      </c>
      <c r="O314" s="3">
        <v>69</v>
      </c>
    </row>
    <row r="315" spans="1:16" x14ac:dyDescent="0.3">
      <c r="A315" s="1" t="s">
        <v>16</v>
      </c>
      <c r="B315" s="1" t="s">
        <v>159</v>
      </c>
      <c r="C315" s="1" t="s">
        <v>224</v>
      </c>
      <c r="D315" s="1" t="s">
        <v>164</v>
      </c>
      <c r="E315" s="1" t="s">
        <v>56</v>
      </c>
      <c r="F315" s="1">
        <v>50952</v>
      </c>
      <c r="G315" s="1" t="s">
        <v>911</v>
      </c>
      <c r="H315" s="1" t="s">
        <v>912</v>
      </c>
      <c r="I315" s="1" t="s">
        <v>913</v>
      </c>
      <c r="J315" s="1" t="s">
        <v>32</v>
      </c>
      <c r="K315" s="1" t="s">
        <v>46</v>
      </c>
      <c r="L315" s="2">
        <v>47375</v>
      </c>
      <c r="M315" s="4">
        <v>3337430</v>
      </c>
      <c r="N315" s="1" t="s">
        <v>23</v>
      </c>
      <c r="O315" s="3">
        <v>69</v>
      </c>
    </row>
    <row r="316" spans="1:16" x14ac:dyDescent="0.3">
      <c r="A316" s="1" t="s">
        <v>16</v>
      </c>
      <c r="B316" s="1" t="s">
        <v>159</v>
      </c>
      <c r="C316" s="1" t="s">
        <v>224</v>
      </c>
      <c r="D316" s="1" t="s">
        <v>164</v>
      </c>
      <c r="E316" s="1" t="s">
        <v>56</v>
      </c>
      <c r="F316" s="1">
        <v>50953</v>
      </c>
      <c r="G316" s="1" t="s">
        <v>914</v>
      </c>
      <c r="H316" s="1" t="s">
        <v>915</v>
      </c>
      <c r="I316" s="1" t="s">
        <v>916</v>
      </c>
      <c r="J316" s="1" t="s">
        <v>32</v>
      </c>
      <c r="K316" s="1" t="s">
        <v>46</v>
      </c>
      <c r="L316" s="2">
        <v>47603</v>
      </c>
      <c r="M316" s="4">
        <v>21644597</v>
      </c>
      <c r="N316" s="1" t="s">
        <v>23</v>
      </c>
      <c r="O316" s="3">
        <v>69</v>
      </c>
    </row>
    <row r="317" spans="1:16" x14ac:dyDescent="0.3">
      <c r="A317" s="1" t="s">
        <v>16</v>
      </c>
      <c r="B317" s="1" t="s">
        <v>159</v>
      </c>
      <c r="C317" s="1" t="s">
        <v>349</v>
      </c>
      <c r="D317" s="1" t="s">
        <v>163</v>
      </c>
      <c r="E317" s="1" t="s">
        <v>417</v>
      </c>
      <c r="F317" s="1">
        <v>50954</v>
      </c>
      <c r="G317" s="1" t="s">
        <v>917</v>
      </c>
      <c r="H317" s="1" t="s">
        <v>918</v>
      </c>
      <c r="I317" s="1" t="s">
        <v>919</v>
      </c>
      <c r="J317" s="1" t="s">
        <v>22</v>
      </c>
      <c r="L317" s="2">
        <v>47818</v>
      </c>
      <c r="M317" s="4">
        <v>2500000</v>
      </c>
      <c r="N317" s="1" t="s">
        <v>23</v>
      </c>
      <c r="O317" s="3">
        <v>138</v>
      </c>
    </row>
    <row r="318" spans="1:16" x14ac:dyDescent="0.3">
      <c r="A318" s="1" t="s">
        <v>16</v>
      </c>
      <c r="B318" s="1" t="s">
        <v>159</v>
      </c>
      <c r="C318" s="1" t="s">
        <v>224</v>
      </c>
      <c r="D318" s="1" t="s">
        <v>164</v>
      </c>
      <c r="E318" s="1" t="s">
        <v>56</v>
      </c>
      <c r="F318" s="1">
        <v>50955</v>
      </c>
      <c r="G318" s="1" t="s">
        <v>920</v>
      </c>
      <c r="H318" s="1" t="s">
        <v>921</v>
      </c>
      <c r="I318" s="1" t="s">
        <v>922</v>
      </c>
      <c r="J318" s="1" t="s">
        <v>32</v>
      </c>
      <c r="K318" s="1" t="s">
        <v>46</v>
      </c>
      <c r="L318" s="2">
        <v>46553</v>
      </c>
      <c r="M318" s="4">
        <v>1431311</v>
      </c>
      <c r="N318" s="1" t="s">
        <v>23</v>
      </c>
      <c r="O318" s="3">
        <v>69</v>
      </c>
    </row>
    <row r="319" spans="1:16" x14ac:dyDescent="0.3">
      <c r="A319" s="1" t="s">
        <v>16</v>
      </c>
      <c r="B319" s="1" t="s">
        <v>159</v>
      </c>
      <c r="C319" s="1" t="s">
        <v>349</v>
      </c>
      <c r="D319" s="1" t="s">
        <v>163</v>
      </c>
      <c r="E319" s="1" t="s">
        <v>417</v>
      </c>
      <c r="F319" s="1">
        <v>50956</v>
      </c>
      <c r="G319" s="1" t="s">
        <v>923</v>
      </c>
      <c r="H319" s="1" t="s">
        <v>924</v>
      </c>
      <c r="I319" s="1" t="s">
        <v>925</v>
      </c>
      <c r="J319" s="1" t="s">
        <v>22</v>
      </c>
      <c r="L319" s="2">
        <v>47752</v>
      </c>
      <c r="M319" s="4">
        <v>3700000</v>
      </c>
      <c r="N319" s="1" t="s">
        <v>23</v>
      </c>
      <c r="O319" s="3">
        <v>138</v>
      </c>
    </row>
    <row r="320" spans="1:16" x14ac:dyDescent="0.3">
      <c r="A320" s="1" t="s">
        <v>16</v>
      </c>
      <c r="B320" s="1" t="s">
        <v>159</v>
      </c>
      <c r="C320" s="1" t="s">
        <v>349</v>
      </c>
      <c r="D320" s="1" t="s">
        <v>163</v>
      </c>
      <c r="E320" s="1" t="s">
        <v>417</v>
      </c>
      <c r="F320" s="1">
        <v>50957</v>
      </c>
      <c r="G320" s="1" t="s">
        <v>926</v>
      </c>
      <c r="H320" s="1" t="s">
        <v>927</v>
      </c>
      <c r="I320" s="1" t="s">
        <v>928</v>
      </c>
      <c r="J320" s="1" t="s">
        <v>22</v>
      </c>
      <c r="L320" s="2">
        <v>47786</v>
      </c>
      <c r="M320" s="4">
        <v>2500000</v>
      </c>
      <c r="N320" s="1" t="s">
        <v>23</v>
      </c>
      <c r="O320" s="3">
        <v>138</v>
      </c>
    </row>
    <row r="321" spans="1:16" x14ac:dyDescent="0.3">
      <c r="A321" s="1" t="s">
        <v>16</v>
      </c>
      <c r="B321" s="1" t="s">
        <v>159</v>
      </c>
      <c r="C321" s="1" t="s">
        <v>452</v>
      </c>
      <c r="D321" s="1" t="s">
        <v>164</v>
      </c>
      <c r="E321" s="1" t="s">
        <v>367</v>
      </c>
      <c r="F321" s="1">
        <v>50958</v>
      </c>
      <c r="G321" s="1" t="s">
        <v>929</v>
      </c>
      <c r="H321" s="1" t="s">
        <v>930</v>
      </c>
      <c r="I321" s="1" t="s">
        <v>931</v>
      </c>
      <c r="J321" s="1" t="s">
        <v>32</v>
      </c>
      <c r="K321" s="1" t="s">
        <v>46</v>
      </c>
      <c r="L321" s="2">
        <v>46752</v>
      </c>
      <c r="M321" s="4">
        <v>3125000</v>
      </c>
      <c r="N321" s="1" t="s">
        <v>23</v>
      </c>
      <c r="O321" s="3">
        <v>161</v>
      </c>
    </row>
    <row r="322" spans="1:16" x14ac:dyDescent="0.3">
      <c r="A322" s="1" t="s">
        <v>16</v>
      </c>
      <c r="B322" s="1" t="s">
        <v>159</v>
      </c>
      <c r="C322" s="1" t="s">
        <v>349</v>
      </c>
      <c r="D322" s="1" t="s">
        <v>163</v>
      </c>
      <c r="E322" s="1" t="s">
        <v>417</v>
      </c>
      <c r="F322" s="1">
        <v>50959</v>
      </c>
      <c r="G322" s="1" t="s">
        <v>932</v>
      </c>
      <c r="H322" s="1" t="s">
        <v>933</v>
      </c>
      <c r="I322" s="1" t="s">
        <v>934</v>
      </c>
      <c r="J322" s="1" t="s">
        <v>22</v>
      </c>
      <c r="L322" s="2">
        <v>47696</v>
      </c>
      <c r="M322" s="4">
        <v>7600000</v>
      </c>
      <c r="N322" s="1" t="s">
        <v>23</v>
      </c>
      <c r="O322" s="3">
        <v>138</v>
      </c>
      <c r="P322" s="3">
        <v>69</v>
      </c>
    </row>
    <row r="323" spans="1:16" x14ac:dyDescent="0.3">
      <c r="A323" s="1" t="s">
        <v>16</v>
      </c>
      <c r="B323" s="1" t="s">
        <v>159</v>
      </c>
      <c r="C323" s="1" t="s">
        <v>224</v>
      </c>
      <c r="D323" s="1" t="s">
        <v>164</v>
      </c>
      <c r="E323" s="1" t="s">
        <v>56</v>
      </c>
      <c r="F323" s="1">
        <v>50960</v>
      </c>
      <c r="G323" s="1" t="s">
        <v>935</v>
      </c>
      <c r="H323" s="1" t="s">
        <v>936</v>
      </c>
      <c r="I323" s="1" t="s">
        <v>935</v>
      </c>
      <c r="J323" s="1" t="s">
        <v>32</v>
      </c>
      <c r="K323" s="1" t="s">
        <v>46</v>
      </c>
      <c r="L323" s="2">
        <v>46553</v>
      </c>
      <c r="M323" s="4">
        <v>56690</v>
      </c>
      <c r="N323" s="1" t="s">
        <v>23</v>
      </c>
      <c r="O323" s="3">
        <v>69</v>
      </c>
    </row>
    <row r="324" spans="1:16" x14ac:dyDescent="0.3">
      <c r="A324" s="1" t="s">
        <v>16</v>
      </c>
      <c r="B324" s="1" t="s">
        <v>159</v>
      </c>
      <c r="C324" s="1" t="s">
        <v>349</v>
      </c>
      <c r="D324" s="1" t="s">
        <v>163</v>
      </c>
      <c r="E324" s="1" t="s">
        <v>417</v>
      </c>
      <c r="F324" s="1">
        <v>50961</v>
      </c>
      <c r="G324" s="1" t="s">
        <v>937</v>
      </c>
      <c r="H324" s="1" t="s">
        <v>938</v>
      </c>
      <c r="I324" s="1" t="s">
        <v>939</v>
      </c>
      <c r="J324" s="1" t="s">
        <v>22</v>
      </c>
      <c r="L324" s="2">
        <v>47452</v>
      </c>
      <c r="M324" s="4">
        <v>138900000</v>
      </c>
      <c r="N324" s="1" t="s">
        <v>23</v>
      </c>
      <c r="O324" s="3">
        <v>230</v>
      </c>
    </row>
    <row r="325" spans="1:16" x14ac:dyDescent="0.3">
      <c r="A325" s="1" t="s">
        <v>16</v>
      </c>
      <c r="B325" s="1" t="s">
        <v>159</v>
      </c>
      <c r="C325" s="1" t="s">
        <v>349</v>
      </c>
      <c r="D325" s="1" t="s">
        <v>163</v>
      </c>
      <c r="E325" s="1" t="s">
        <v>417</v>
      </c>
      <c r="F325" s="1">
        <v>50962</v>
      </c>
      <c r="G325" s="1" t="s">
        <v>940</v>
      </c>
      <c r="H325" s="1" t="s">
        <v>941</v>
      </c>
      <c r="I325" s="1" t="s">
        <v>942</v>
      </c>
      <c r="J325" s="1" t="s">
        <v>22</v>
      </c>
      <c r="L325" s="2">
        <v>47848</v>
      </c>
      <c r="M325" s="4">
        <v>6600000</v>
      </c>
      <c r="N325" s="1" t="s">
        <v>23</v>
      </c>
      <c r="O325" s="3">
        <v>230</v>
      </c>
    </row>
    <row r="326" spans="1:16" x14ac:dyDescent="0.3">
      <c r="A326" s="1" t="s">
        <v>16</v>
      </c>
      <c r="B326" s="1" t="s">
        <v>159</v>
      </c>
      <c r="C326" s="1" t="s">
        <v>349</v>
      </c>
      <c r="D326" s="1" t="s">
        <v>163</v>
      </c>
      <c r="E326" s="1" t="s">
        <v>417</v>
      </c>
      <c r="F326" s="1">
        <v>50963</v>
      </c>
      <c r="G326" s="1" t="s">
        <v>943</v>
      </c>
      <c r="H326" s="1" t="s">
        <v>944</v>
      </c>
      <c r="I326" s="1" t="s">
        <v>945</v>
      </c>
      <c r="J326" s="1" t="s">
        <v>22</v>
      </c>
      <c r="L326" s="2">
        <v>47818</v>
      </c>
      <c r="M326" s="4">
        <v>3700000</v>
      </c>
      <c r="N326" s="1" t="s">
        <v>23</v>
      </c>
      <c r="O326" s="3">
        <v>500</v>
      </c>
      <c r="P326" s="3">
        <v>138</v>
      </c>
    </row>
    <row r="327" spans="1:16" x14ac:dyDescent="0.3">
      <c r="A327" s="1" t="s">
        <v>16</v>
      </c>
      <c r="B327" s="1" t="s">
        <v>159</v>
      </c>
      <c r="C327" s="1" t="s">
        <v>452</v>
      </c>
      <c r="D327" s="1" t="s">
        <v>164</v>
      </c>
      <c r="E327" s="1" t="s">
        <v>367</v>
      </c>
      <c r="F327" s="1">
        <v>50964</v>
      </c>
      <c r="G327" s="1" t="s">
        <v>946</v>
      </c>
      <c r="H327" s="1" t="s">
        <v>947</v>
      </c>
      <c r="I327" s="1" t="s">
        <v>948</v>
      </c>
      <c r="J327" s="1" t="s">
        <v>32</v>
      </c>
      <c r="K327" s="1" t="s">
        <v>205</v>
      </c>
      <c r="L327" s="2">
        <v>47118</v>
      </c>
      <c r="M327" s="4">
        <v>3750000</v>
      </c>
      <c r="N327" s="1" t="s">
        <v>23</v>
      </c>
      <c r="O327" s="3">
        <v>161</v>
      </c>
    </row>
    <row r="328" spans="1:16" x14ac:dyDescent="0.3">
      <c r="A328" s="1" t="s">
        <v>16</v>
      </c>
      <c r="B328" s="1" t="s">
        <v>159</v>
      </c>
      <c r="C328" s="1" t="s">
        <v>224</v>
      </c>
      <c r="D328" s="1" t="s">
        <v>164</v>
      </c>
      <c r="E328" s="1" t="s">
        <v>56</v>
      </c>
      <c r="F328" s="1">
        <v>50965</v>
      </c>
      <c r="G328" s="1" t="s">
        <v>949</v>
      </c>
      <c r="H328" s="1" t="s">
        <v>950</v>
      </c>
      <c r="I328" s="1" t="s">
        <v>951</v>
      </c>
      <c r="J328" s="1" t="s">
        <v>32</v>
      </c>
      <c r="K328" s="1" t="s">
        <v>33</v>
      </c>
      <c r="L328" s="2">
        <v>47018</v>
      </c>
      <c r="M328" s="4">
        <v>8593385</v>
      </c>
      <c r="N328" s="1" t="s">
        <v>23</v>
      </c>
      <c r="O328" s="3">
        <v>69</v>
      </c>
    </row>
    <row r="329" spans="1:16" x14ac:dyDescent="0.3">
      <c r="A329" s="1" t="s">
        <v>16</v>
      </c>
      <c r="B329" s="1" t="s">
        <v>159</v>
      </c>
      <c r="C329" s="1" t="s">
        <v>224</v>
      </c>
      <c r="D329" s="1" t="s">
        <v>164</v>
      </c>
      <c r="E329" s="1" t="s">
        <v>56</v>
      </c>
      <c r="F329" s="1">
        <v>50966</v>
      </c>
      <c r="G329" s="1" t="s">
        <v>952</v>
      </c>
      <c r="H329" s="1" t="s">
        <v>953</v>
      </c>
      <c r="I329" s="1" t="s">
        <v>954</v>
      </c>
      <c r="J329" s="1" t="s">
        <v>32</v>
      </c>
      <c r="K329" s="1" t="s">
        <v>33</v>
      </c>
      <c r="L329" s="2">
        <v>48429</v>
      </c>
      <c r="M329" s="4">
        <v>27278359</v>
      </c>
      <c r="N329" s="1" t="s">
        <v>23</v>
      </c>
      <c r="O329" s="3">
        <v>69</v>
      </c>
    </row>
    <row r="330" spans="1:16" x14ac:dyDescent="0.3">
      <c r="A330" s="1" t="s">
        <v>16</v>
      </c>
      <c r="B330" s="1" t="s">
        <v>159</v>
      </c>
      <c r="C330" s="1" t="s">
        <v>349</v>
      </c>
      <c r="D330" s="1" t="s">
        <v>163</v>
      </c>
      <c r="E330" s="1" t="s">
        <v>417</v>
      </c>
      <c r="F330" s="1">
        <v>50967</v>
      </c>
      <c r="G330" s="1" t="s">
        <v>955</v>
      </c>
      <c r="H330" s="1" t="s">
        <v>956</v>
      </c>
      <c r="I330" s="1" t="s">
        <v>957</v>
      </c>
      <c r="J330" s="1" t="s">
        <v>22</v>
      </c>
      <c r="L330" s="2">
        <v>47848</v>
      </c>
      <c r="M330" s="4">
        <v>5200000</v>
      </c>
      <c r="N330" s="1" t="s">
        <v>23</v>
      </c>
      <c r="O330" s="3">
        <v>138</v>
      </c>
    </row>
    <row r="331" spans="1:16" x14ac:dyDescent="0.3">
      <c r="A331" s="1" t="s">
        <v>16</v>
      </c>
      <c r="B331" s="1" t="s">
        <v>159</v>
      </c>
      <c r="C331" s="1" t="s">
        <v>452</v>
      </c>
      <c r="D331" s="1" t="s">
        <v>164</v>
      </c>
      <c r="E331" s="1" t="s">
        <v>367</v>
      </c>
      <c r="F331" s="1">
        <v>50968</v>
      </c>
      <c r="G331" s="1" t="s">
        <v>958</v>
      </c>
      <c r="H331" s="1" t="s">
        <v>959</v>
      </c>
      <c r="I331" s="1" t="s">
        <v>960</v>
      </c>
      <c r="J331" s="1" t="s">
        <v>32</v>
      </c>
      <c r="K331" s="1" t="s">
        <v>33</v>
      </c>
      <c r="L331" s="2">
        <v>47118</v>
      </c>
      <c r="M331" s="4">
        <v>61375000</v>
      </c>
      <c r="N331" s="1" t="s">
        <v>23</v>
      </c>
      <c r="O331" s="3">
        <v>345</v>
      </c>
      <c r="P331" s="3">
        <v>35</v>
      </c>
    </row>
    <row r="332" spans="1:16" x14ac:dyDescent="0.3">
      <c r="A332" s="1" t="s">
        <v>16</v>
      </c>
      <c r="B332" s="1" t="s">
        <v>159</v>
      </c>
      <c r="C332" s="1" t="s">
        <v>224</v>
      </c>
      <c r="D332" s="1" t="s">
        <v>164</v>
      </c>
      <c r="E332" s="1" t="s">
        <v>56</v>
      </c>
      <c r="F332" s="1">
        <v>50970</v>
      </c>
      <c r="G332" s="1" t="s">
        <v>961</v>
      </c>
      <c r="H332" s="1" t="s">
        <v>962</v>
      </c>
      <c r="I332" s="1" t="s">
        <v>832</v>
      </c>
      <c r="J332" s="1" t="s">
        <v>32</v>
      </c>
      <c r="K332" s="1" t="s">
        <v>33</v>
      </c>
      <c r="L332" s="2">
        <v>48592</v>
      </c>
      <c r="M332" s="4">
        <v>15515677</v>
      </c>
      <c r="N332" s="1" t="s">
        <v>23</v>
      </c>
      <c r="O332" s="3">
        <v>69</v>
      </c>
    </row>
    <row r="333" spans="1:16" x14ac:dyDescent="0.3">
      <c r="A333" s="1" t="s">
        <v>16</v>
      </c>
      <c r="B333" s="1" t="s">
        <v>159</v>
      </c>
      <c r="C333" s="1" t="s">
        <v>224</v>
      </c>
      <c r="D333" s="1" t="s">
        <v>164</v>
      </c>
      <c r="E333" s="1" t="s">
        <v>56</v>
      </c>
      <c r="F333" s="1">
        <v>50971</v>
      </c>
      <c r="G333" s="1" t="s">
        <v>963</v>
      </c>
      <c r="H333" s="1" t="s">
        <v>964</v>
      </c>
      <c r="I333" s="1" t="s">
        <v>832</v>
      </c>
      <c r="J333" s="1" t="s">
        <v>32</v>
      </c>
      <c r="K333" s="1" t="s">
        <v>33</v>
      </c>
      <c r="L333" s="2">
        <v>48592</v>
      </c>
      <c r="M333" s="4">
        <v>9340334</v>
      </c>
      <c r="N333" s="1" t="s">
        <v>23</v>
      </c>
      <c r="O333" s="3">
        <v>69</v>
      </c>
    </row>
    <row r="334" spans="1:16" x14ac:dyDescent="0.3">
      <c r="A334" s="1" t="s">
        <v>16</v>
      </c>
      <c r="B334" s="1" t="s">
        <v>159</v>
      </c>
      <c r="C334" s="1" t="s">
        <v>224</v>
      </c>
      <c r="D334" s="1" t="s">
        <v>164</v>
      </c>
      <c r="E334" s="1" t="s">
        <v>56</v>
      </c>
      <c r="F334" s="1">
        <v>50972</v>
      </c>
      <c r="G334" s="1" t="s">
        <v>965</v>
      </c>
      <c r="H334" s="1" t="s">
        <v>966</v>
      </c>
      <c r="I334" s="1" t="s">
        <v>832</v>
      </c>
      <c r="J334" s="1" t="s">
        <v>32</v>
      </c>
      <c r="K334" s="1" t="s">
        <v>33</v>
      </c>
      <c r="L334" s="2">
        <v>48592</v>
      </c>
      <c r="M334" s="4">
        <v>13330058</v>
      </c>
      <c r="N334" s="1" t="s">
        <v>23</v>
      </c>
      <c r="O334" s="3">
        <v>69</v>
      </c>
    </row>
    <row r="335" spans="1:16" x14ac:dyDescent="0.3">
      <c r="A335" s="1" t="s">
        <v>16</v>
      </c>
      <c r="B335" s="1" t="s">
        <v>159</v>
      </c>
      <c r="C335" s="1" t="s">
        <v>224</v>
      </c>
      <c r="D335" s="1" t="s">
        <v>164</v>
      </c>
      <c r="E335" s="1" t="s">
        <v>56</v>
      </c>
      <c r="F335" s="1">
        <v>50973</v>
      </c>
      <c r="G335" s="1" t="s">
        <v>967</v>
      </c>
      <c r="H335" s="1" t="s">
        <v>968</v>
      </c>
      <c r="I335" s="1" t="s">
        <v>832</v>
      </c>
      <c r="J335" s="1" t="s">
        <v>32</v>
      </c>
      <c r="K335" s="1" t="s">
        <v>33</v>
      </c>
      <c r="L335" s="2">
        <v>48592</v>
      </c>
      <c r="M335" s="4">
        <v>30156288</v>
      </c>
      <c r="N335" s="1" t="s">
        <v>23</v>
      </c>
      <c r="O335" s="3">
        <v>230</v>
      </c>
    </row>
    <row r="336" spans="1:16" x14ac:dyDescent="0.3">
      <c r="A336" s="1" t="s">
        <v>16</v>
      </c>
      <c r="B336" s="1" t="s">
        <v>159</v>
      </c>
      <c r="C336" s="1" t="s">
        <v>224</v>
      </c>
      <c r="D336" s="1" t="s">
        <v>164</v>
      </c>
      <c r="E336" s="1" t="s">
        <v>56</v>
      </c>
      <c r="F336" s="1">
        <v>50974</v>
      </c>
      <c r="G336" s="1" t="s">
        <v>969</v>
      </c>
      <c r="H336" s="1" t="s">
        <v>970</v>
      </c>
      <c r="I336" s="1" t="s">
        <v>832</v>
      </c>
      <c r="J336" s="1" t="s">
        <v>32</v>
      </c>
      <c r="K336" s="1" t="s">
        <v>33</v>
      </c>
      <c r="L336" s="2">
        <v>48241</v>
      </c>
      <c r="M336" s="4">
        <v>19048781</v>
      </c>
      <c r="N336" s="1" t="s">
        <v>23</v>
      </c>
      <c r="O336" s="3">
        <v>69</v>
      </c>
    </row>
    <row r="337" spans="1:16" x14ac:dyDescent="0.3">
      <c r="A337" s="1" t="s">
        <v>16</v>
      </c>
      <c r="B337" s="1" t="s">
        <v>159</v>
      </c>
      <c r="C337" s="1" t="s">
        <v>224</v>
      </c>
      <c r="D337" s="1" t="s">
        <v>164</v>
      </c>
      <c r="E337" s="1" t="s">
        <v>56</v>
      </c>
      <c r="F337" s="1">
        <v>50976</v>
      </c>
      <c r="G337" s="1" t="s">
        <v>971</v>
      </c>
      <c r="H337" s="1" t="s">
        <v>972</v>
      </c>
      <c r="I337" s="1" t="s">
        <v>973</v>
      </c>
      <c r="J337" s="1" t="s">
        <v>32</v>
      </c>
      <c r="K337" s="1" t="s">
        <v>33</v>
      </c>
      <c r="L337" s="2">
        <v>46969</v>
      </c>
      <c r="M337" s="4">
        <v>4684459</v>
      </c>
      <c r="N337" s="1" t="s">
        <v>23</v>
      </c>
      <c r="O337" s="3">
        <v>115</v>
      </c>
    </row>
    <row r="338" spans="1:16" x14ac:dyDescent="0.3">
      <c r="A338" s="1" t="s">
        <v>16</v>
      </c>
      <c r="B338" s="1" t="s">
        <v>159</v>
      </c>
      <c r="C338" s="1" t="s">
        <v>380</v>
      </c>
      <c r="D338" s="1" t="s">
        <v>161</v>
      </c>
      <c r="E338" s="1" t="s">
        <v>73</v>
      </c>
      <c r="F338" s="1">
        <v>50977</v>
      </c>
      <c r="G338" s="1" t="s">
        <v>974</v>
      </c>
      <c r="H338" s="1" t="s">
        <v>975</v>
      </c>
      <c r="I338" s="1" t="s">
        <v>731</v>
      </c>
      <c r="J338" s="1" t="s">
        <v>32</v>
      </c>
      <c r="K338" s="1" t="s">
        <v>33</v>
      </c>
      <c r="L338" s="2">
        <v>47118</v>
      </c>
      <c r="M338" s="4">
        <v>4500000</v>
      </c>
      <c r="N338" s="1" t="s">
        <v>23</v>
      </c>
      <c r="O338" s="3">
        <v>138</v>
      </c>
      <c r="P338" s="3">
        <v>69</v>
      </c>
    </row>
    <row r="339" spans="1:16" x14ac:dyDescent="0.3">
      <c r="A339" s="1" t="s">
        <v>16</v>
      </c>
      <c r="B339" s="1" t="s">
        <v>159</v>
      </c>
      <c r="C339" s="1" t="s">
        <v>976</v>
      </c>
      <c r="D339" s="1" t="s">
        <v>164</v>
      </c>
      <c r="E339" s="1" t="s">
        <v>56</v>
      </c>
      <c r="F339" s="1">
        <v>50978</v>
      </c>
      <c r="G339" s="1" t="s">
        <v>977</v>
      </c>
      <c r="H339" s="1" t="s">
        <v>978</v>
      </c>
      <c r="I339" s="1" t="s">
        <v>88</v>
      </c>
      <c r="J339" s="1" t="s">
        <v>32</v>
      </c>
      <c r="K339" s="1" t="s">
        <v>33</v>
      </c>
      <c r="L339" s="2">
        <v>47848</v>
      </c>
      <c r="M339" s="4">
        <v>5500000</v>
      </c>
      <c r="N339" s="1" t="s">
        <v>23</v>
      </c>
      <c r="O339" s="3">
        <v>115</v>
      </c>
    </row>
    <row r="340" spans="1:16" x14ac:dyDescent="0.3">
      <c r="A340" s="1" t="s">
        <v>16</v>
      </c>
      <c r="B340" s="1" t="s">
        <v>159</v>
      </c>
      <c r="C340" s="1" t="s">
        <v>976</v>
      </c>
      <c r="D340" s="1" t="s">
        <v>164</v>
      </c>
      <c r="E340" s="1" t="s">
        <v>56</v>
      </c>
      <c r="F340" s="1">
        <v>50981</v>
      </c>
      <c r="G340" s="1" t="s">
        <v>979</v>
      </c>
      <c r="H340" s="1" t="s">
        <v>980</v>
      </c>
      <c r="I340" s="1" t="s">
        <v>981</v>
      </c>
      <c r="J340" s="1" t="s">
        <v>32</v>
      </c>
      <c r="K340" s="1" t="s">
        <v>46</v>
      </c>
      <c r="L340" s="2">
        <v>46477</v>
      </c>
      <c r="M340" s="4">
        <v>665000</v>
      </c>
      <c r="N340" s="1" t="s">
        <v>23</v>
      </c>
      <c r="O340" s="3">
        <v>230</v>
      </c>
      <c r="P340" s="3">
        <v>115</v>
      </c>
    </row>
    <row r="341" spans="1:16" x14ac:dyDescent="0.3">
      <c r="A341" s="1" t="s">
        <v>16</v>
      </c>
      <c r="B341" s="1" t="s">
        <v>159</v>
      </c>
      <c r="C341" s="1" t="s">
        <v>982</v>
      </c>
      <c r="D341" s="1" t="s">
        <v>164</v>
      </c>
      <c r="E341" s="1" t="s">
        <v>56</v>
      </c>
      <c r="F341" s="1">
        <v>50983</v>
      </c>
      <c r="G341" s="1" t="s">
        <v>983</v>
      </c>
      <c r="H341" s="1" t="s">
        <v>984</v>
      </c>
      <c r="I341" s="1" t="s">
        <v>985</v>
      </c>
      <c r="J341" s="1" t="s">
        <v>32</v>
      </c>
      <c r="K341" s="1" t="s">
        <v>33</v>
      </c>
      <c r="L341" s="2">
        <v>48053</v>
      </c>
      <c r="M341" s="4">
        <v>1854072</v>
      </c>
      <c r="N341" s="1" t="s">
        <v>23</v>
      </c>
      <c r="O341" s="3">
        <v>69</v>
      </c>
    </row>
    <row r="342" spans="1:16" x14ac:dyDescent="0.3">
      <c r="A342" s="1" t="s">
        <v>16</v>
      </c>
      <c r="B342" s="1" t="s">
        <v>159</v>
      </c>
      <c r="C342" s="1" t="s">
        <v>224</v>
      </c>
      <c r="D342" s="1" t="s">
        <v>164</v>
      </c>
      <c r="E342" s="1" t="s">
        <v>56</v>
      </c>
      <c r="F342" s="1">
        <v>50986</v>
      </c>
      <c r="G342" s="1" t="s">
        <v>986</v>
      </c>
      <c r="H342" s="1" t="s">
        <v>987</v>
      </c>
      <c r="I342" s="1" t="s">
        <v>987</v>
      </c>
      <c r="J342" s="1" t="s">
        <v>32</v>
      </c>
      <c r="K342" s="1" t="s">
        <v>33</v>
      </c>
      <c r="L342" s="2">
        <v>46910</v>
      </c>
      <c r="M342" s="4">
        <v>445145</v>
      </c>
      <c r="N342" s="1" t="s">
        <v>23</v>
      </c>
      <c r="O342" s="3">
        <v>69</v>
      </c>
    </row>
    <row r="343" spans="1:16" x14ac:dyDescent="0.3">
      <c r="A343" s="1" t="s">
        <v>16</v>
      </c>
      <c r="B343" s="1" t="s">
        <v>159</v>
      </c>
      <c r="C343" s="1" t="s">
        <v>224</v>
      </c>
      <c r="D343" s="1" t="s">
        <v>164</v>
      </c>
      <c r="E343" s="1" t="s">
        <v>56</v>
      </c>
      <c r="F343" s="1">
        <v>50987</v>
      </c>
      <c r="G343" s="1" t="s">
        <v>988</v>
      </c>
      <c r="H343" s="1" t="s">
        <v>989</v>
      </c>
      <c r="I343" s="1" t="s">
        <v>989</v>
      </c>
      <c r="J343" s="1" t="s">
        <v>32</v>
      </c>
      <c r="K343" s="1" t="s">
        <v>33</v>
      </c>
      <c r="L343" s="2">
        <v>46910</v>
      </c>
      <c r="M343" s="4">
        <v>724141</v>
      </c>
      <c r="N343" s="1" t="s">
        <v>23</v>
      </c>
      <c r="O343" s="3">
        <v>69</v>
      </c>
    </row>
    <row r="344" spans="1:16" x14ac:dyDescent="0.3">
      <c r="A344" s="1" t="s">
        <v>16</v>
      </c>
      <c r="B344" s="1" t="s">
        <v>159</v>
      </c>
      <c r="C344" s="1" t="s">
        <v>224</v>
      </c>
      <c r="D344" s="1" t="s">
        <v>164</v>
      </c>
      <c r="E344" s="1" t="s">
        <v>56</v>
      </c>
      <c r="F344" s="1">
        <v>50988</v>
      </c>
      <c r="G344" s="1" t="s">
        <v>990</v>
      </c>
      <c r="H344" s="1" t="s">
        <v>991</v>
      </c>
      <c r="I344" s="1" t="s">
        <v>832</v>
      </c>
      <c r="J344" s="1" t="s">
        <v>32</v>
      </c>
      <c r="K344" s="1" t="s">
        <v>33</v>
      </c>
      <c r="L344" s="2">
        <v>48162</v>
      </c>
      <c r="M344" s="4">
        <v>12052375</v>
      </c>
      <c r="N344" s="1" t="s">
        <v>23</v>
      </c>
      <c r="O344" s="3">
        <v>69</v>
      </c>
    </row>
    <row r="345" spans="1:16" x14ac:dyDescent="0.3">
      <c r="A345" s="1" t="s">
        <v>16</v>
      </c>
      <c r="B345" s="1" t="s">
        <v>159</v>
      </c>
      <c r="C345" s="1" t="s">
        <v>992</v>
      </c>
      <c r="D345" s="1" t="s">
        <v>164</v>
      </c>
      <c r="E345" s="1" t="s">
        <v>117</v>
      </c>
      <c r="F345" s="1">
        <v>50991</v>
      </c>
      <c r="G345" s="1" t="s">
        <v>993</v>
      </c>
      <c r="H345" s="1" t="s">
        <v>994</v>
      </c>
      <c r="I345" s="1" t="s">
        <v>995</v>
      </c>
      <c r="J345" s="1" t="s">
        <v>32</v>
      </c>
      <c r="K345" s="1" t="s">
        <v>33</v>
      </c>
      <c r="L345" s="2">
        <v>46752</v>
      </c>
      <c r="M345" s="4">
        <v>240000</v>
      </c>
      <c r="N345" s="1" t="s">
        <v>23</v>
      </c>
      <c r="O345" s="3">
        <v>42</v>
      </c>
    </row>
    <row r="346" spans="1:16" x14ac:dyDescent="0.3">
      <c r="A346" s="1" t="s">
        <v>16</v>
      </c>
      <c r="B346" s="1" t="s">
        <v>159</v>
      </c>
      <c r="C346" s="1" t="s">
        <v>992</v>
      </c>
      <c r="D346" s="1" t="s">
        <v>164</v>
      </c>
      <c r="E346" s="1" t="s">
        <v>56</v>
      </c>
      <c r="F346" s="1">
        <v>50992</v>
      </c>
      <c r="G346" s="1" t="s">
        <v>996</v>
      </c>
      <c r="H346" s="1" t="s">
        <v>997</v>
      </c>
      <c r="I346" s="1" t="s">
        <v>998</v>
      </c>
      <c r="J346" s="1" t="s">
        <v>32</v>
      </c>
      <c r="K346" s="1" t="s">
        <v>33</v>
      </c>
      <c r="L346" s="2">
        <v>46752</v>
      </c>
      <c r="M346" s="4">
        <v>1450000</v>
      </c>
      <c r="N346" s="1" t="s">
        <v>23</v>
      </c>
      <c r="O346" s="3">
        <v>42</v>
      </c>
    </row>
    <row r="347" spans="1:16" x14ac:dyDescent="0.3">
      <c r="A347" s="1" t="s">
        <v>16</v>
      </c>
      <c r="B347" s="1" t="s">
        <v>159</v>
      </c>
      <c r="C347" s="1" t="s">
        <v>224</v>
      </c>
      <c r="D347" s="1" t="s">
        <v>164</v>
      </c>
      <c r="E347" s="1" t="s">
        <v>56</v>
      </c>
      <c r="F347" s="1">
        <v>50993</v>
      </c>
      <c r="G347" s="1" t="s">
        <v>999</v>
      </c>
      <c r="H347" s="1" t="s">
        <v>1000</v>
      </c>
      <c r="I347" s="1" t="s">
        <v>832</v>
      </c>
      <c r="J347" s="1" t="s">
        <v>32</v>
      </c>
      <c r="K347" s="1" t="s">
        <v>33</v>
      </c>
      <c r="L347" s="2">
        <v>47504</v>
      </c>
      <c r="M347" s="4">
        <v>1708075</v>
      </c>
      <c r="N347" s="1" t="s">
        <v>23</v>
      </c>
      <c r="O347" s="3">
        <v>69</v>
      </c>
    </row>
    <row r="348" spans="1:16" x14ac:dyDescent="0.3">
      <c r="A348" s="1" t="s">
        <v>16</v>
      </c>
      <c r="B348" s="1" t="s">
        <v>159</v>
      </c>
      <c r="C348" s="1" t="s">
        <v>992</v>
      </c>
      <c r="D348" s="1" t="s">
        <v>164</v>
      </c>
      <c r="E348" s="1" t="s">
        <v>56</v>
      </c>
      <c r="F348" s="1">
        <v>50995</v>
      </c>
      <c r="G348" s="1" t="s">
        <v>1001</v>
      </c>
      <c r="H348" s="1" t="s">
        <v>1002</v>
      </c>
      <c r="I348" s="1" t="s">
        <v>998</v>
      </c>
      <c r="J348" s="1" t="s">
        <v>32</v>
      </c>
      <c r="K348" s="1" t="s">
        <v>33</v>
      </c>
      <c r="L348" s="2">
        <v>46752</v>
      </c>
      <c r="M348" s="4">
        <v>1400000</v>
      </c>
      <c r="N348" s="1" t="s">
        <v>23</v>
      </c>
      <c r="O348" s="3">
        <v>42</v>
      </c>
    </row>
    <row r="349" spans="1:16" x14ac:dyDescent="0.3">
      <c r="A349" s="1" t="s">
        <v>16</v>
      </c>
      <c r="B349" s="1" t="s">
        <v>159</v>
      </c>
      <c r="C349" s="1" t="s">
        <v>992</v>
      </c>
      <c r="D349" s="1" t="s">
        <v>164</v>
      </c>
      <c r="E349" s="1" t="s">
        <v>56</v>
      </c>
      <c r="F349" s="1">
        <v>50996</v>
      </c>
      <c r="G349" s="1" t="s">
        <v>1003</v>
      </c>
      <c r="H349" s="1" t="s">
        <v>1004</v>
      </c>
      <c r="I349" s="1" t="s">
        <v>998</v>
      </c>
      <c r="J349" s="1" t="s">
        <v>32</v>
      </c>
      <c r="K349" s="1" t="s">
        <v>33</v>
      </c>
      <c r="L349" s="2">
        <v>46387</v>
      </c>
      <c r="M349" s="4">
        <v>600000</v>
      </c>
      <c r="N349" s="1" t="s">
        <v>23</v>
      </c>
      <c r="O349" s="3">
        <v>42</v>
      </c>
    </row>
    <row r="350" spans="1:16" x14ac:dyDescent="0.3">
      <c r="A350" s="1" t="s">
        <v>16</v>
      </c>
      <c r="B350" s="1" t="s">
        <v>159</v>
      </c>
      <c r="C350" s="1" t="s">
        <v>992</v>
      </c>
      <c r="D350" s="1" t="s">
        <v>164</v>
      </c>
      <c r="E350" s="1" t="s">
        <v>117</v>
      </c>
      <c r="F350" s="1">
        <v>50998</v>
      </c>
      <c r="G350" s="1" t="s">
        <v>1005</v>
      </c>
      <c r="H350" s="1" t="s">
        <v>1006</v>
      </c>
      <c r="I350" s="1" t="s">
        <v>1007</v>
      </c>
      <c r="J350" s="1" t="s">
        <v>32</v>
      </c>
      <c r="K350" s="1" t="s">
        <v>46</v>
      </c>
      <c r="L350" s="2">
        <v>46752</v>
      </c>
      <c r="M350" s="4">
        <v>450000</v>
      </c>
      <c r="N350" s="1" t="s">
        <v>23</v>
      </c>
      <c r="O350" s="3">
        <v>42</v>
      </c>
    </row>
    <row r="351" spans="1:16" x14ac:dyDescent="0.3">
      <c r="A351" s="1" t="s">
        <v>16</v>
      </c>
      <c r="B351" s="1" t="s">
        <v>159</v>
      </c>
      <c r="C351" s="1" t="s">
        <v>982</v>
      </c>
      <c r="D351" s="1" t="s">
        <v>164</v>
      </c>
      <c r="E351" s="1" t="s">
        <v>367</v>
      </c>
      <c r="F351" s="1">
        <v>50999</v>
      </c>
      <c r="G351" s="1" t="s">
        <v>1008</v>
      </c>
      <c r="H351" s="1" t="s">
        <v>1009</v>
      </c>
      <c r="I351" s="1" t="s">
        <v>985</v>
      </c>
      <c r="J351" s="1" t="s">
        <v>32</v>
      </c>
      <c r="K351" s="1" t="s">
        <v>33</v>
      </c>
      <c r="L351" s="2">
        <v>47729</v>
      </c>
      <c r="M351" s="4">
        <v>4361897</v>
      </c>
      <c r="N351" s="1" t="s">
        <v>23</v>
      </c>
      <c r="O351" s="3">
        <v>69</v>
      </c>
    </row>
    <row r="352" spans="1:16" x14ac:dyDescent="0.3">
      <c r="A352" s="1" t="s">
        <v>16</v>
      </c>
      <c r="B352" s="1" t="s">
        <v>159</v>
      </c>
      <c r="C352" s="1" t="s">
        <v>992</v>
      </c>
      <c r="D352" s="1" t="s">
        <v>164</v>
      </c>
      <c r="E352" s="1" t="s">
        <v>719</v>
      </c>
      <c r="F352" s="1">
        <v>51000</v>
      </c>
      <c r="G352" s="1" t="s">
        <v>1010</v>
      </c>
      <c r="H352" s="1" t="s">
        <v>1011</v>
      </c>
      <c r="I352" s="1" t="s">
        <v>1007</v>
      </c>
      <c r="J352" s="1" t="s">
        <v>32</v>
      </c>
      <c r="K352" s="1" t="s">
        <v>46</v>
      </c>
      <c r="L352" s="2">
        <v>46752</v>
      </c>
      <c r="M352" s="4">
        <v>435000</v>
      </c>
      <c r="N352" s="1" t="s">
        <v>23</v>
      </c>
      <c r="O352" s="3">
        <v>42</v>
      </c>
    </row>
    <row r="353" spans="1:16" x14ac:dyDescent="0.3">
      <c r="A353" s="1" t="s">
        <v>16</v>
      </c>
      <c r="B353" s="1" t="s">
        <v>159</v>
      </c>
      <c r="C353" s="1" t="s">
        <v>992</v>
      </c>
      <c r="D353" s="1" t="s">
        <v>164</v>
      </c>
      <c r="E353" s="1" t="s">
        <v>117</v>
      </c>
      <c r="F353" s="1">
        <v>51001</v>
      </c>
      <c r="G353" s="1" t="s">
        <v>1012</v>
      </c>
      <c r="H353" s="1" t="s">
        <v>1013</v>
      </c>
      <c r="I353" s="1" t="s">
        <v>1014</v>
      </c>
      <c r="J353" s="1" t="s">
        <v>32</v>
      </c>
      <c r="K353" s="1" t="s">
        <v>33</v>
      </c>
      <c r="L353" s="2">
        <v>46387</v>
      </c>
      <c r="M353" s="4">
        <v>1</v>
      </c>
      <c r="N353" s="1" t="s">
        <v>23</v>
      </c>
      <c r="O353" s="3">
        <v>42</v>
      </c>
    </row>
    <row r="354" spans="1:16" x14ac:dyDescent="0.3">
      <c r="A354" s="1" t="s">
        <v>16</v>
      </c>
      <c r="B354" s="1" t="s">
        <v>159</v>
      </c>
      <c r="C354" s="1" t="s">
        <v>982</v>
      </c>
      <c r="D354" s="1" t="s">
        <v>164</v>
      </c>
      <c r="E354" s="1" t="s">
        <v>1015</v>
      </c>
      <c r="F354" s="1">
        <v>51003</v>
      </c>
      <c r="G354" s="1" t="s">
        <v>1016</v>
      </c>
      <c r="H354" s="1" t="s">
        <v>1017</v>
      </c>
      <c r="I354" s="1" t="s">
        <v>985</v>
      </c>
      <c r="J354" s="1" t="s">
        <v>32</v>
      </c>
      <c r="K354" s="1" t="s">
        <v>33</v>
      </c>
      <c r="L354" s="2">
        <v>47438</v>
      </c>
      <c r="M354" s="4">
        <v>17213807</v>
      </c>
      <c r="N354" s="1" t="s">
        <v>23</v>
      </c>
      <c r="O354" s="3">
        <v>69</v>
      </c>
    </row>
    <row r="355" spans="1:16" x14ac:dyDescent="0.3">
      <c r="A355" s="1" t="s">
        <v>16</v>
      </c>
      <c r="B355" s="1" t="s">
        <v>159</v>
      </c>
      <c r="C355" s="1" t="s">
        <v>224</v>
      </c>
      <c r="D355" s="1" t="s">
        <v>164</v>
      </c>
      <c r="E355" s="1" t="s">
        <v>56</v>
      </c>
      <c r="F355" s="1">
        <v>51004</v>
      </c>
      <c r="G355" s="1" t="s">
        <v>1018</v>
      </c>
      <c r="H355" s="1" t="s">
        <v>1019</v>
      </c>
      <c r="I355" s="1" t="s">
        <v>832</v>
      </c>
      <c r="J355" s="1" t="s">
        <v>32</v>
      </c>
      <c r="K355" s="1" t="s">
        <v>33</v>
      </c>
      <c r="L355" s="2">
        <v>48240</v>
      </c>
      <c r="M355" s="4">
        <v>14815961</v>
      </c>
      <c r="N355" s="1" t="s">
        <v>23</v>
      </c>
      <c r="O355" s="3">
        <v>69</v>
      </c>
    </row>
    <row r="356" spans="1:16" x14ac:dyDescent="0.3">
      <c r="A356" s="1" t="s">
        <v>16</v>
      </c>
      <c r="B356" s="1" t="s">
        <v>159</v>
      </c>
      <c r="C356" s="1" t="s">
        <v>224</v>
      </c>
      <c r="D356" s="1" t="s">
        <v>164</v>
      </c>
      <c r="E356" s="1" t="s">
        <v>56</v>
      </c>
      <c r="F356" s="1">
        <v>51006</v>
      </c>
      <c r="G356" s="1" t="s">
        <v>1020</v>
      </c>
      <c r="H356" s="1" t="s">
        <v>1021</v>
      </c>
      <c r="I356" s="1" t="s">
        <v>832</v>
      </c>
      <c r="J356" s="1" t="s">
        <v>32</v>
      </c>
      <c r="K356" s="1" t="s">
        <v>33</v>
      </c>
      <c r="L356" s="2">
        <v>48781</v>
      </c>
      <c r="M356" s="4">
        <v>40053279</v>
      </c>
      <c r="N356" s="1" t="s">
        <v>23</v>
      </c>
      <c r="O356" s="3">
        <v>69</v>
      </c>
    </row>
    <row r="357" spans="1:16" x14ac:dyDescent="0.3">
      <c r="A357" s="1" t="s">
        <v>16</v>
      </c>
      <c r="B357" s="1" t="s">
        <v>159</v>
      </c>
      <c r="C357" s="1" t="s">
        <v>982</v>
      </c>
      <c r="D357" s="1" t="s">
        <v>164</v>
      </c>
      <c r="E357" s="1" t="s">
        <v>42</v>
      </c>
      <c r="F357" s="1">
        <v>51008</v>
      </c>
      <c r="G357" s="1" t="s">
        <v>1022</v>
      </c>
      <c r="H357" s="1" t="s">
        <v>1023</v>
      </c>
      <c r="I357" s="1" t="s">
        <v>1024</v>
      </c>
      <c r="J357" s="1" t="s">
        <v>32</v>
      </c>
      <c r="K357" s="1" t="s">
        <v>46</v>
      </c>
      <c r="L357" s="2">
        <v>47158</v>
      </c>
      <c r="M357" s="4">
        <v>15295676</v>
      </c>
      <c r="N357" s="1" t="s">
        <v>23</v>
      </c>
      <c r="O357" s="3">
        <v>69</v>
      </c>
    </row>
    <row r="358" spans="1:16" x14ac:dyDescent="0.3">
      <c r="A358" s="1" t="s">
        <v>16</v>
      </c>
      <c r="B358" s="1" t="s">
        <v>159</v>
      </c>
      <c r="C358" s="1" t="s">
        <v>982</v>
      </c>
      <c r="D358" s="1" t="s">
        <v>164</v>
      </c>
      <c r="E358" s="1" t="s">
        <v>42</v>
      </c>
      <c r="F358" s="1">
        <v>51009</v>
      </c>
      <c r="G358" s="1" t="s">
        <v>1025</v>
      </c>
      <c r="H358" s="1" t="s">
        <v>1026</v>
      </c>
      <c r="I358" s="1" t="s">
        <v>985</v>
      </c>
      <c r="J358" s="1" t="s">
        <v>32</v>
      </c>
      <c r="K358" s="1" t="s">
        <v>46</v>
      </c>
      <c r="L358" s="2">
        <v>47802</v>
      </c>
      <c r="M358" s="4">
        <v>31091866</v>
      </c>
      <c r="N358" s="1" t="s">
        <v>23</v>
      </c>
      <c r="O358" s="3">
        <v>69</v>
      </c>
    </row>
    <row r="359" spans="1:16" x14ac:dyDescent="0.3">
      <c r="A359" s="1" t="s">
        <v>16</v>
      </c>
      <c r="B359" s="1" t="s">
        <v>159</v>
      </c>
      <c r="C359" s="1" t="s">
        <v>982</v>
      </c>
      <c r="D359" s="1" t="s">
        <v>164</v>
      </c>
      <c r="E359" s="1" t="s">
        <v>367</v>
      </c>
      <c r="F359" s="1">
        <v>51012</v>
      </c>
      <c r="G359" s="1" t="s">
        <v>1027</v>
      </c>
      <c r="H359" s="1" t="s">
        <v>1028</v>
      </c>
      <c r="I359" s="1" t="s">
        <v>1029</v>
      </c>
      <c r="J359" s="1" t="s">
        <v>32</v>
      </c>
      <c r="K359" s="1" t="s">
        <v>46</v>
      </c>
      <c r="L359" s="2">
        <v>47778</v>
      </c>
      <c r="M359" s="4">
        <v>4314012</v>
      </c>
      <c r="N359" s="1" t="s">
        <v>23</v>
      </c>
      <c r="O359" s="3">
        <v>69</v>
      </c>
    </row>
    <row r="360" spans="1:16" x14ac:dyDescent="0.3">
      <c r="A360" s="1" t="s">
        <v>16</v>
      </c>
      <c r="B360" s="1" t="s">
        <v>159</v>
      </c>
      <c r="C360" s="1" t="s">
        <v>982</v>
      </c>
      <c r="D360" s="1" t="s">
        <v>164</v>
      </c>
      <c r="E360" s="1" t="s">
        <v>42</v>
      </c>
      <c r="F360" s="1">
        <v>51013</v>
      </c>
      <c r="G360" s="1" t="s">
        <v>1030</v>
      </c>
      <c r="H360" s="1" t="s">
        <v>1031</v>
      </c>
      <c r="I360" s="1" t="s">
        <v>1032</v>
      </c>
      <c r="J360" s="1" t="s">
        <v>32</v>
      </c>
      <c r="K360" s="1" t="s">
        <v>33</v>
      </c>
      <c r="L360" s="2">
        <v>46588</v>
      </c>
      <c r="M360" s="4">
        <v>7311360</v>
      </c>
      <c r="N360" s="1" t="s">
        <v>23</v>
      </c>
      <c r="O360" s="3">
        <v>69</v>
      </c>
    </row>
    <row r="361" spans="1:16" x14ac:dyDescent="0.3">
      <c r="A361" s="1" t="s">
        <v>16</v>
      </c>
      <c r="B361" s="1" t="s">
        <v>159</v>
      </c>
      <c r="C361" s="1" t="s">
        <v>982</v>
      </c>
      <c r="D361" s="1" t="s">
        <v>164</v>
      </c>
      <c r="E361" s="1" t="s">
        <v>42</v>
      </c>
      <c r="F361" s="1">
        <v>51015</v>
      </c>
      <c r="G361" s="1" t="s">
        <v>1033</v>
      </c>
      <c r="H361" s="1" t="s">
        <v>1034</v>
      </c>
      <c r="I361" s="1" t="s">
        <v>1035</v>
      </c>
      <c r="J361" s="1" t="s">
        <v>32</v>
      </c>
      <c r="K361" s="1" t="s">
        <v>46</v>
      </c>
      <c r="L361" s="2">
        <v>47422</v>
      </c>
      <c r="M361" s="4">
        <v>10899809</v>
      </c>
      <c r="N361" s="1" t="s">
        <v>23</v>
      </c>
      <c r="O361" s="3">
        <v>161</v>
      </c>
    </row>
    <row r="362" spans="1:16" x14ac:dyDescent="0.3">
      <c r="A362" s="1" t="s">
        <v>16</v>
      </c>
      <c r="B362" s="1" t="s">
        <v>159</v>
      </c>
      <c r="C362" s="1" t="s">
        <v>51</v>
      </c>
      <c r="D362" s="1" t="s">
        <v>162</v>
      </c>
      <c r="E362" s="1" t="s">
        <v>18</v>
      </c>
      <c r="F362" s="1">
        <v>51016</v>
      </c>
      <c r="G362" s="1" t="s">
        <v>1036</v>
      </c>
      <c r="H362" s="1" t="s">
        <v>1037</v>
      </c>
      <c r="I362" s="1" t="s">
        <v>1038</v>
      </c>
      <c r="J362" s="1" t="s">
        <v>32</v>
      </c>
      <c r="K362" s="1" t="s">
        <v>33</v>
      </c>
      <c r="L362" s="2">
        <v>47848</v>
      </c>
      <c r="M362" s="4">
        <v>72740000</v>
      </c>
      <c r="N362" s="1" t="s">
        <v>23</v>
      </c>
      <c r="O362" s="3">
        <v>138</v>
      </c>
    </row>
    <row r="363" spans="1:16" x14ac:dyDescent="0.3">
      <c r="A363" s="1" t="s">
        <v>16</v>
      </c>
      <c r="B363" s="1" t="s">
        <v>159</v>
      </c>
      <c r="C363" s="1" t="s">
        <v>51</v>
      </c>
      <c r="D363" s="1" t="s">
        <v>162</v>
      </c>
      <c r="E363" s="1" t="s">
        <v>18</v>
      </c>
      <c r="F363" s="1">
        <v>51017</v>
      </c>
      <c r="G363" s="1" t="s">
        <v>1039</v>
      </c>
      <c r="H363" s="1" t="s">
        <v>1040</v>
      </c>
      <c r="I363" s="1" t="s">
        <v>1041</v>
      </c>
      <c r="J363" s="1" t="s">
        <v>32</v>
      </c>
      <c r="K363" s="1" t="s">
        <v>33</v>
      </c>
      <c r="L363" s="2">
        <v>48213</v>
      </c>
      <c r="M363" s="4">
        <v>38440000</v>
      </c>
      <c r="N363" s="1" t="s">
        <v>23</v>
      </c>
      <c r="O363" s="3">
        <v>138</v>
      </c>
    </row>
    <row r="364" spans="1:16" x14ac:dyDescent="0.3">
      <c r="A364" s="1" t="s">
        <v>16</v>
      </c>
      <c r="B364" s="1" t="s">
        <v>159</v>
      </c>
      <c r="C364" s="1" t="s">
        <v>992</v>
      </c>
      <c r="D364" s="1" t="s">
        <v>164</v>
      </c>
      <c r="E364" s="1" t="s">
        <v>1042</v>
      </c>
      <c r="F364" s="1">
        <v>51018</v>
      </c>
      <c r="G364" s="1" t="s">
        <v>1043</v>
      </c>
      <c r="H364" s="1" t="s">
        <v>1044</v>
      </c>
      <c r="I364" s="1" t="s">
        <v>1045</v>
      </c>
      <c r="J364" s="1" t="s">
        <v>32</v>
      </c>
      <c r="K364" s="1" t="s">
        <v>33</v>
      </c>
      <c r="L364" s="2">
        <v>46752</v>
      </c>
      <c r="M364" s="4">
        <v>900000</v>
      </c>
      <c r="N364" s="1" t="s">
        <v>23</v>
      </c>
      <c r="O364" s="3">
        <v>115</v>
      </c>
    </row>
    <row r="365" spans="1:16" x14ac:dyDescent="0.3">
      <c r="A365" s="1" t="s">
        <v>16</v>
      </c>
      <c r="B365" s="1" t="s">
        <v>159</v>
      </c>
      <c r="C365" s="1" t="s">
        <v>17</v>
      </c>
      <c r="D365" s="1" t="s">
        <v>162</v>
      </c>
      <c r="E365" s="1" t="s">
        <v>18</v>
      </c>
      <c r="F365" s="1">
        <v>51019</v>
      </c>
      <c r="G365" s="1" t="s">
        <v>1046</v>
      </c>
      <c r="H365" s="1" t="s">
        <v>1047</v>
      </c>
      <c r="I365" s="1" t="s">
        <v>1048</v>
      </c>
      <c r="J365" s="1" t="s">
        <v>22</v>
      </c>
      <c r="L365" s="2">
        <v>47848</v>
      </c>
      <c r="M365" s="4">
        <v>300000</v>
      </c>
      <c r="N365" s="1" t="s">
        <v>23</v>
      </c>
      <c r="O365" s="3">
        <v>230</v>
      </c>
    </row>
    <row r="366" spans="1:16" x14ac:dyDescent="0.3">
      <c r="A366" s="1" t="s">
        <v>16</v>
      </c>
      <c r="B366" s="1" t="s">
        <v>159</v>
      </c>
      <c r="C366" s="1" t="s">
        <v>51</v>
      </c>
      <c r="D366" s="1" t="s">
        <v>162</v>
      </c>
      <c r="E366" s="1" t="s">
        <v>18</v>
      </c>
      <c r="F366" s="1">
        <v>51020</v>
      </c>
      <c r="G366" s="1" t="s">
        <v>1049</v>
      </c>
      <c r="H366" s="1" t="s">
        <v>1050</v>
      </c>
      <c r="I366" s="1" t="s">
        <v>1051</v>
      </c>
      <c r="J366" s="1" t="s">
        <v>32</v>
      </c>
      <c r="K366" s="1" t="s">
        <v>33</v>
      </c>
      <c r="L366" s="2">
        <v>47848</v>
      </c>
      <c r="M366" s="4">
        <v>11410000</v>
      </c>
      <c r="N366" s="1" t="s">
        <v>23</v>
      </c>
      <c r="O366" s="3">
        <v>138</v>
      </c>
    </row>
    <row r="367" spans="1:16" x14ac:dyDescent="0.3">
      <c r="A367" s="1" t="s">
        <v>16</v>
      </c>
      <c r="B367" s="1" t="s">
        <v>159</v>
      </c>
      <c r="C367" s="1" t="s">
        <v>982</v>
      </c>
      <c r="D367" s="1" t="s">
        <v>164</v>
      </c>
      <c r="E367" s="1" t="s">
        <v>56</v>
      </c>
      <c r="F367" s="1">
        <v>51021</v>
      </c>
      <c r="G367" s="1" t="s">
        <v>1052</v>
      </c>
      <c r="H367" s="1" t="s">
        <v>1053</v>
      </c>
      <c r="I367" s="1" t="s">
        <v>1035</v>
      </c>
      <c r="J367" s="1" t="s">
        <v>32</v>
      </c>
      <c r="K367" s="1" t="s">
        <v>46</v>
      </c>
      <c r="L367" s="2">
        <v>46766</v>
      </c>
      <c r="M367" s="4">
        <v>8907967</v>
      </c>
      <c r="N367" s="1" t="s">
        <v>23</v>
      </c>
      <c r="O367" s="3">
        <v>161</v>
      </c>
    </row>
    <row r="368" spans="1:16" x14ac:dyDescent="0.3">
      <c r="A368" s="1" t="s">
        <v>16</v>
      </c>
      <c r="B368" s="1" t="s">
        <v>159</v>
      </c>
      <c r="C368" s="1" t="s">
        <v>51</v>
      </c>
      <c r="D368" s="1" t="s">
        <v>162</v>
      </c>
      <c r="E368" s="1" t="s">
        <v>18</v>
      </c>
      <c r="F368" s="1">
        <v>51024</v>
      </c>
      <c r="G368" s="1" t="s">
        <v>1054</v>
      </c>
      <c r="H368" s="1" t="s">
        <v>1055</v>
      </c>
      <c r="I368" s="1" t="s">
        <v>1056</v>
      </c>
      <c r="J368" s="1" t="s">
        <v>32</v>
      </c>
      <c r="K368" s="1" t="s">
        <v>205</v>
      </c>
      <c r="L368" s="2">
        <v>47483</v>
      </c>
      <c r="M368" s="4">
        <v>2500000</v>
      </c>
      <c r="N368" s="1" t="s">
        <v>23</v>
      </c>
      <c r="O368" s="3">
        <v>345</v>
      </c>
      <c r="P368" s="3">
        <v>138</v>
      </c>
    </row>
    <row r="369" spans="1:16" x14ac:dyDescent="0.3">
      <c r="A369" s="1" t="s">
        <v>16</v>
      </c>
      <c r="B369" s="1" t="s">
        <v>159</v>
      </c>
      <c r="C369" s="1" t="s">
        <v>51</v>
      </c>
      <c r="D369" s="1" t="s">
        <v>162</v>
      </c>
      <c r="E369" s="1" t="s">
        <v>18</v>
      </c>
      <c r="F369" s="1">
        <v>51025</v>
      </c>
      <c r="G369" s="1" t="s">
        <v>1057</v>
      </c>
      <c r="H369" s="1" t="s">
        <v>1058</v>
      </c>
      <c r="I369" s="1" t="s">
        <v>1059</v>
      </c>
      <c r="J369" s="1" t="s">
        <v>32</v>
      </c>
      <c r="K369" s="1" t="s">
        <v>82</v>
      </c>
      <c r="L369" s="2">
        <v>47118</v>
      </c>
      <c r="M369" s="4">
        <v>2500000</v>
      </c>
      <c r="N369" s="1" t="s">
        <v>23</v>
      </c>
      <c r="O369" s="3">
        <v>345</v>
      </c>
      <c r="P369" s="3">
        <v>138</v>
      </c>
    </row>
    <row r="370" spans="1:16" x14ac:dyDescent="0.3">
      <c r="A370" s="1" t="s">
        <v>16</v>
      </c>
      <c r="B370" s="1" t="s">
        <v>159</v>
      </c>
      <c r="C370" s="1" t="s">
        <v>51</v>
      </c>
      <c r="D370" s="1" t="s">
        <v>162</v>
      </c>
      <c r="E370" s="1" t="s">
        <v>18</v>
      </c>
      <c r="F370" s="1">
        <v>51026</v>
      </c>
      <c r="G370" s="1" t="s">
        <v>1060</v>
      </c>
      <c r="H370" s="1" t="s">
        <v>1061</v>
      </c>
      <c r="I370" s="1" t="s">
        <v>1062</v>
      </c>
      <c r="J370" s="1" t="s">
        <v>32</v>
      </c>
      <c r="K370" s="1" t="s">
        <v>33</v>
      </c>
      <c r="L370" s="2">
        <v>47118</v>
      </c>
      <c r="M370" s="4">
        <v>58625000</v>
      </c>
      <c r="N370" s="1" t="s">
        <v>23</v>
      </c>
      <c r="O370" s="3">
        <v>345</v>
      </c>
      <c r="P370" s="3">
        <v>138</v>
      </c>
    </row>
    <row r="371" spans="1:16" x14ac:dyDescent="0.3">
      <c r="A371" s="1" t="s">
        <v>16</v>
      </c>
      <c r="B371" s="1" t="s">
        <v>159</v>
      </c>
      <c r="C371" s="1" t="s">
        <v>17</v>
      </c>
      <c r="D371" s="1" t="s">
        <v>162</v>
      </c>
      <c r="E371" s="1" t="s">
        <v>18</v>
      </c>
      <c r="F371" s="1">
        <v>51028</v>
      </c>
      <c r="G371" s="1" t="s">
        <v>1063</v>
      </c>
      <c r="H371" s="1" t="s">
        <v>1064</v>
      </c>
      <c r="I371" s="1" t="s">
        <v>1065</v>
      </c>
      <c r="J371" s="1" t="s">
        <v>32</v>
      </c>
      <c r="K371" s="1" t="s">
        <v>205</v>
      </c>
      <c r="L371" s="2">
        <v>47483</v>
      </c>
      <c r="M371" s="4">
        <v>2500000</v>
      </c>
      <c r="N371" s="1" t="s">
        <v>23</v>
      </c>
      <c r="O371" s="3">
        <v>345</v>
      </c>
      <c r="P371" s="3">
        <v>120</v>
      </c>
    </row>
    <row r="372" spans="1:16" x14ac:dyDescent="0.3">
      <c r="A372" s="1" t="s">
        <v>16</v>
      </c>
      <c r="B372" s="1" t="s">
        <v>159</v>
      </c>
      <c r="C372" s="1" t="s">
        <v>17</v>
      </c>
      <c r="D372" s="1" t="s">
        <v>162</v>
      </c>
      <c r="E372" s="1" t="s">
        <v>18</v>
      </c>
      <c r="F372" s="1">
        <v>51029</v>
      </c>
      <c r="G372" s="1" t="s">
        <v>1066</v>
      </c>
      <c r="H372" s="1" t="s">
        <v>1067</v>
      </c>
      <c r="I372" s="1" t="s">
        <v>1068</v>
      </c>
      <c r="J372" s="1" t="s">
        <v>32</v>
      </c>
      <c r="K372" s="1" t="s">
        <v>82</v>
      </c>
      <c r="L372" s="2">
        <v>47118</v>
      </c>
      <c r="M372" s="4">
        <v>2500000</v>
      </c>
      <c r="N372" s="1" t="s">
        <v>23</v>
      </c>
      <c r="O372" s="3">
        <v>345</v>
      </c>
      <c r="P372" s="3">
        <v>120</v>
      </c>
    </row>
    <row r="373" spans="1:16" x14ac:dyDescent="0.3">
      <c r="A373" s="1" t="s">
        <v>16</v>
      </c>
      <c r="B373" s="1" t="s">
        <v>159</v>
      </c>
      <c r="C373" s="1" t="s">
        <v>17</v>
      </c>
      <c r="D373" s="1" t="s">
        <v>162</v>
      </c>
      <c r="E373" s="1" t="s">
        <v>18</v>
      </c>
      <c r="F373" s="1">
        <v>51030</v>
      </c>
      <c r="G373" s="1" t="s">
        <v>1069</v>
      </c>
      <c r="H373" s="1" t="s">
        <v>1061</v>
      </c>
      <c r="I373" s="1" t="s">
        <v>1062</v>
      </c>
      <c r="J373" s="1" t="s">
        <v>32</v>
      </c>
      <c r="K373" s="1" t="s">
        <v>33</v>
      </c>
      <c r="L373" s="2">
        <v>47118</v>
      </c>
      <c r="M373" s="4">
        <v>58250000</v>
      </c>
      <c r="N373" s="1" t="s">
        <v>23</v>
      </c>
      <c r="O373" s="3">
        <v>345</v>
      </c>
      <c r="P373" s="3">
        <v>120</v>
      </c>
    </row>
    <row r="374" spans="1:16" x14ac:dyDescent="0.3">
      <c r="A374" s="1" t="s">
        <v>16</v>
      </c>
      <c r="B374" s="1" t="s">
        <v>159</v>
      </c>
      <c r="C374" s="1" t="s">
        <v>1070</v>
      </c>
      <c r="D374" s="1" t="s">
        <v>161</v>
      </c>
      <c r="E374" s="1" t="s">
        <v>28</v>
      </c>
      <c r="F374" s="1">
        <v>51032</v>
      </c>
      <c r="G374" s="1" t="s">
        <v>1071</v>
      </c>
      <c r="H374" s="1" t="s">
        <v>1072</v>
      </c>
      <c r="I374" s="1" t="s">
        <v>328</v>
      </c>
      <c r="J374" s="1" t="s">
        <v>32</v>
      </c>
      <c r="K374" s="1" t="s">
        <v>33</v>
      </c>
      <c r="L374" s="2">
        <v>47848</v>
      </c>
      <c r="M374" s="4">
        <v>8400000</v>
      </c>
      <c r="N374" s="1" t="s">
        <v>23</v>
      </c>
      <c r="O374" s="3">
        <v>69</v>
      </c>
    </row>
    <row r="375" spans="1:16" x14ac:dyDescent="0.3">
      <c r="A375" s="1" t="s">
        <v>16</v>
      </c>
      <c r="B375" s="1" t="s">
        <v>159</v>
      </c>
      <c r="C375" s="1" t="s">
        <v>1070</v>
      </c>
      <c r="D375" s="1" t="s">
        <v>161</v>
      </c>
      <c r="E375" s="1" t="s">
        <v>65</v>
      </c>
      <c r="F375" s="1">
        <v>51033</v>
      </c>
      <c r="G375" s="1" t="s">
        <v>1073</v>
      </c>
      <c r="H375" s="1" t="s">
        <v>1074</v>
      </c>
      <c r="I375" s="1" t="s">
        <v>205</v>
      </c>
      <c r="J375" s="1" t="s">
        <v>32</v>
      </c>
      <c r="K375" s="1" t="s">
        <v>205</v>
      </c>
      <c r="L375" s="2">
        <v>47118</v>
      </c>
      <c r="M375" s="4">
        <v>7000000</v>
      </c>
      <c r="N375" s="1" t="s">
        <v>23</v>
      </c>
      <c r="O375" s="3">
        <v>138</v>
      </c>
    </row>
    <row r="376" spans="1:16" x14ac:dyDescent="0.3">
      <c r="A376" s="1" t="s">
        <v>16</v>
      </c>
      <c r="B376" s="1" t="s">
        <v>159</v>
      </c>
      <c r="C376" s="1" t="s">
        <v>1070</v>
      </c>
      <c r="D376" s="1" t="s">
        <v>161</v>
      </c>
      <c r="E376" s="1" t="s">
        <v>28</v>
      </c>
      <c r="F376" s="1">
        <v>51035</v>
      </c>
      <c r="G376" s="1" t="s">
        <v>1075</v>
      </c>
      <c r="H376" s="1" t="s">
        <v>1076</v>
      </c>
      <c r="I376" s="1" t="s">
        <v>1077</v>
      </c>
      <c r="J376" s="1" t="s">
        <v>32</v>
      </c>
      <c r="K376" s="1" t="s">
        <v>205</v>
      </c>
      <c r="L376" s="2">
        <v>47118</v>
      </c>
      <c r="M376" s="4">
        <v>7400000</v>
      </c>
      <c r="N376" s="1" t="s">
        <v>23</v>
      </c>
      <c r="O376" s="3">
        <v>69</v>
      </c>
    </row>
    <row r="377" spans="1:16" x14ac:dyDescent="0.3">
      <c r="A377" s="1" t="s">
        <v>16</v>
      </c>
      <c r="B377" s="1" t="s">
        <v>159</v>
      </c>
      <c r="C377" s="1" t="s">
        <v>1070</v>
      </c>
      <c r="D377" s="1" t="s">
        <v>161</v>
      </c>
      <c r="E377" s="1" t="s">
        <v>28</v>
      </c>
      <c r="F377" s="1">
        <v>51036</v>
      </c>
      <c r="G377" s="1" t="s">
        <v>1078</v>
      </c>
      <c r="H377" s="1" t="s">
        <v>1079</v>
      </c>
      <c r="I377" s="1" t="s">
        <v>205</v>
      </c>
      <c r="J377" s="1" t="s">
        <v>32</v>
      </c>
      <c r="K377" s="1" t="s">
        <v>205</v>
      </c>
      <c r="L377" s="2">
        <v>47118</v>
      </c>
      <c r="M377" s="4">
        <v>17600000</v>
      </c>
      <c r="N377" s="1" t="s">
        <v>23</v>
      </c>
      <c r="O377" s="3">
        <v>69</v>
      </c>
    </row>
    <row r="378" spans="1:16" x14ac:dyDescent="0.3">
      <c r="A378" s="1" t="s">
        <v>16</v>
      </c>
      <c r="B378" s="1" t="s">
        <v>159</v>
      </c>
      <c r="C378" s="1" t="s">
        <v>1070</v>
      </c>
      <c r="D378" s="1" t="s">
        <v>161</v>
      </c>
      <c r="E378" s="1" t="s">
        <v>28</v>
      </c>
      <c r="F378" s="1">
        <v>51037</v>
      </c>
      <c r="G378" s="1" t="s">
        <v>1080</v>
      </c>
      <c r="H378" s="1" t="s">
        <v>1081</v>
      </c>
      <c r="I378" s="1" t="s">
        <v>328</v>
      </c>
      <c r="J378" s="1" t="s">
        <v>32</v>
      </c>
      <c r="K378" s="1" t="s">
        <v>46</v>
      </c>
      <c r="L378" s="2">
        <v>47848</v>
      </c>
      <c r="M378" s="4">
        <v>15200000</v>
      </c>
      <c r="N378" s="1" t="s">
        <v>23</v>
      </c>
      <c r="O378" s="3">
        <v>69</v>
      </c>
    </row>
    <row r="379" spans="1:16" x14ac:dyDescent="0.3">
      <c r="A379" s="1" t="s">
        <v>16</v>
      </c>
      <c r="B379" s="1" t="s">
        <v>159</v>
      </c>
      <c r="C379" s="1" t="s">
        <v>1070</v>
      </c>
      <c r="D379" s="1" t="s">
        <v>161</v>
      </c>
      <c r="E379" s="1" t="s">
        <v>28</v>
      </c>
      <c r="F379" s="1">
        <v>51038</v>
      </c>
      <c r="G379" s="1" t="s">
        <v>1082</v>
      </c>
      <c r="H379" s="1" t="s">
        <v>1083</v>
      </c>
      <c r="I379" s="1" t="s">
        <v>328</v>
      </c>
      <c r="J379" s="1" t="s">
        <v>32</v>
      </c>
      <c r="K379" s="1" t="s">
        <v>46</v>
      </c>
      <c r="L379" s="2">
        <v>47848</v>
      </c>
      <c r="M379" s="4">
        <v>17500000</v>
      </c>
      <c r="N379" s="1" t="s">
        <v>23</v>
      </c>
      <c r="O379" s="3">
        <v>69</v>
      </c>
    </row>
    <row r="380" spans="1:16" x14ac:dyDescent="0.3">
      <c r="A380" s="1" t="s">
        <v>16</v>
      </c>
      <c r="B380" s="1" t="s">
        <v>159</v>
      </c>
      <c r="C380" s="1" t="s">
        <v>1070</v>
      </c>
      <c r="D380" s="1" t="s">
        <v>161</v>
      </c>
      <c r="E380" s="1" t="s">
        <v>28</v>
      </c>
      <c r="F380" s="1">
        <v>51039</v>
      </c>
      <c r="G380" s="1" t="s">
        <v>1084</v>
      </c>
      <c r="H380" s="1" t="s">
        <v>1085</v>
      </c>
      <c r="I380" s="1" t="s">
        <v>328</v>
      </c>
      <c r="J380" s="1" t="s">
        <v>32</v>
      </c>
      <c r="K380" s="1" t="s">
        <v>46</v>
      </c>
      <c r="L380" s="2">
        <v>47483</v>
      </c>
      <c r="M380" s="4">
        <v>18000000</v>
      </c>
      <c r="N380" s="1" t="s">
        <v>23</v>
      </c>
      <c r="O380" s="3">
        <v>69</v>
      </c>
    </row>
    <row r="381" spans="1:16" x14ac:dyDescent="0.3">
      <c r="A381" s="1" t="s">
        <v>16</v>
      </c>
      <c r="B381" s="1" t="s">
        <v>159</v>
      </c>
      <c r="C381" s="1" t="s">
        <v>1070</v>
      </c>
      <c r="D381" s="1" t="s">
        <v>161</v>
      </c>
      <c r="E381" s="1" t="s">
        <v>1086</v>
      </c>
      <c r="F381" s="1">
        <v>51040</v>
      </c>
      <c r="G381" s="1" t="s">
        <v>1087</v>
      </c>
      <c r="H381" s="1" t="s">
        <v>1088</v>
      </c>
      <c r="I381" s="1" t="s">
        <v>205</v>
      </c>
      <c r="J381" s="1" t="s">
        <v>32</v>
      </c>
      <c r="K381" s="1" t="s">
        <v>205</v>
      </c>
      <c r="L381" s="2">
        <v>47118</v>
      </c>
      <c r="M381" s="4">
        <v>6250000</v>
      </c>
      <c r="N381" s="1" t="s">
        <v>23</v>
      </c>
      <c r="O381" s="3">
        <v>69</v>
      </c>
    </row>
    <row r="382" spans="1:16" x14ac:dyDescent="0.3">
      <c r="A382" s="1" t="s">
        <v>16</v>
      </c>
      <c r="B382" s="1" t="s">
        <v>159</v>
      </c>
      <c r="C382" s="1" t="s">
        <v>1070</v>
      </c>
      <c r="D382" s="1" t="s">
        <v>161</v>
      </c>
      <c r="E382" s="1" t="s">
        <v>28</v>
      </c>
      <c r="F382" s="1">
        <v>51041</v>
      </c>
      <c r="G382" s="1" t="s">
        <v>1089</v>
      </c>
      <c r="H382" s="1" t="s">
        <v>1090</v>
      </c>
      <c r="I382" s="1" t="s">
        <v>205</v>
      </c>
      <c r="J382" s="1" t="s">
        <v>32</v>
      </c>
      <c r="K382" s="1" t="s">
        <v>205</v>
      </c>
      <c r="L382" s="2">
        <v>47118</v>
      </c>
      <c r="M382" s="4">
        <v>15000000</v>
      </c>
      <c r="N382" s="1" t="s">
        <v>23</v>
      </c>
      <c r="O382" s="3">
        <v>138</v>
      </c>
    </row>
    <row r="383" spans="1:16" x14ac:dyDescent="0.3">
      <c r="A383" s="1" t="s">
        <v>16</v>
      </c>
      <c r="B383" s="1" t="s">
        <v>159</v>
      </c>
      <c r="C383" s="1" t="s">
        <v>1070</v>
      </c>
      <c r="D383" s="1" t="s">
        <v>161</v>
      </c>
      <c r="E383" s="1" t="s">
        <v>28</v>
      </c>
      <c r="F383" s="1">
        <v>51042</v>
      </c>
      <c r="G383" s="1" t="s">
        <v>1091</v>
      </c>
      <c r="H383" s="1" t="s">
        <v>1092</v>
      </c>
      <c r="I383" s="1" t="s">
        <v>205</v>
      </c>
      <c r="J383" s="1" t="s">
        <v>32</v>
      </c>
      <c r="K383" s="1" t="s">
        <v>205</v>
      </c>
      <c r="L383" s="2">
        <v>46638</v>
      </c>
      <c r="M383" s="4">
        <v>15000000</v>
      </c>
      <c r="N383" s="1" t="s">
        <v>23</v>
      </c>
      <c r="O383" s="3">
        <v>69</v>
      </c>
    </row>
    <row r="384" spans="1:16" x14ac:dyDescent="0.3">
      <c r="A384" s="1" t="s">
        <v>16</v>
      </c>
      <c r="B384" s="1" t="s">
        <v>159</v>
      </c>
      <c r="C384" s="1" t="s">
        <v>1070</v>
      </c>
      <c r="D384" s="1" t="s">
        <v>161</v>
      </c>
      <c r="E384" s="1" t="s">
        <v>28</v>
      </c>
      <c r="F384" s="1">
        <v>51043</v>
      </c>
      <c r="G384" s="1" t="s">
        <v>1093</v>
      </c>
      <c r="H384" s="1" t="s">
        <v>1094</v>
      </c>
      <c r="I384" s="1" t="s">
        <v>328</v>
      </c>
      <c r="J384" s="1" t="s">
        <v>22</v>
      </c>
      <c r="L384" s="2">
        <v>46752</v>
      </c>
      <c r="M384" s="4">
        <v>3000000</v>
      </c>
      <c r="N384" s="1" t="s">
        <v>23</v>
      </c>
      <c r="O384" s="3">
        <v>138</v>
      </c>
    </row>
    <row r="385" spans="1:16" x14ac:dyDescent="0.3">
      <c r="A385" s="1" t="s">
        <v>16</v>
      </c>
      <c r="B385" s="1" t="s">
        <v>159</v>
      </c>
      <c r="C385" s="1" t="s">
        <v>1070</v>
      </c>
      <c r="D385" s="1" t="s">
        <v>161</v>
      </c>
      <c r="E385" s="1" t="s">
        <v>28</v>
      </c>
      <c r="F385" s="1">
        <v>51044</v>
      </c>
      <c r="G385" s="1" t="s">
        <v>1095</v>
      </c>
      <c r="H385" s="1" t="s">
        <v>1096</v>
      </c>
      <c r="I385" s="1" t="s">
        <v>1097</v>
      </c>
      <c r="J385" s="1" t="s">
        <v>32</v>
      </c>
      <c r="K385" s="1" t="s">
        <v>205</v>
      </c>
      <c r="L385" s="2">
        <v>47118</v>
      </c>
      <c r="M385" s="4">
        <v>1200000</v>
      </c>
      <c r="N385" s="1" t="s">
        <v>23</v>
      </c>
      <c r="O385" s="3">
        <v>69</v>
      </c>
    </row>
    <row r="386" spans="1:16" x14ac:dyDescent="0.3">
      <c r="A386" s="1" t="s">
        <v>16</v>
      </c>
      <c r="B386" s="1" t="s">
        <v>159</v>
      </c>
      <c r="C386" s="1" t="s">
        <v>1070</v>
      </c>
      <c r="D386" s="1" t="s">
        <v>161</v>
      </c>
      <c r="E386" s="1" t="s">
        <v>28</v>
      </c>
      <c r="F386" s="1">
        <v>51046</v>
      </c>
      <c r="G386" s="1" t="s">
        <v>1098</v>
      </c>
      <c r="H386" s="1" t="s">
        <v>1099</v>
      </c>
      <c r="I386" s="1" t="s">
        <v>1100</v>
      </c>
      <c r="J386" s="1" t="s">
        <v>32</v>
      </c>
      <c r="K386" s="1" t="s">
        <v>205</v>
      </c>
      <c r="L386" s="2">
        <v>46934</v>
      </c>
      <c r="M386" s="4">
        <v>6200000</v>
      </c>
      <c r="N386" s="1" t="s">
        <v>23</v>
      </c>
      <c r="O386" s="3">
        <v>138</v>
      </c>
      <c r="P386" s="3">
        <v>12</v>
      </c>
    </row>
    <row r="387" spans="1:16" x14ac:dyDescent="0.3">
      <c r="A387" s="1" t="s">
        <v>16</v>
      </c>
      <c r="B387" s="1" t="s">
        <v>159</v>
      </c>
      <c r="C387" s="1" t="s">
        <v>589</v>
      </c>
      <c r="D387" s="1" t="s">
        <v>161</v>
      </c>
      <c r="E387" s="1" t="s">
        <v>28</v>
      </c>
      <c r="F387" s="1">
        <v>51047</v>
      </c>
      <c r="G387" s="1" t="s">
        <v>1101</v>
      </c>
      <c r="H387" s="1" t="s">
        <v>1102</v>
      </c>
      <c r="I387" s="1" t="s">
        <v>1103</v>
      </c>
      <c r="J387" s="1" t="s">
        <v>32</v>
      </c>
      <c r="K387" s="1" t="s">
        <v>46</v>
      </c>
      <c r="L387" s="2">
        <v>46813</v>
      </c>
      <c r="M387" s="4">
        <v>3900000</v>
      </c>
      <c r="N387" s="1" t="s">
        <v>23</v>
      </c>
      <c r="O387" s="3">
        <v>138</v>
      </c>
    </row>
    <row r="388" spans="1:16" x14ac:dyDescent="0.3">
      <c r="A388" s="1" t="s">
        <v>16</v>
      </c>
      <c r="B388" s="1" t="s">
        <v>159</v>
      </c>
      <c r="C388" s="1" t="s">
        <v>589</v>
      </c>
      <c r="D388" s="1" t="s">
        <v>161</v>
      </c>
      <c r="E388" s="1" t="s">
        <v>28</v>
      </c>
      <c r="F388" s="1">
        <v>51048</v>
      </c>
      <c r="G388" s="1" t="s">
        <v>1104</v>
      </c>
      <c r="H388" s="1" t="s">
        <v>1105</v>
      </c>
      <c r="I388" s="1" t="s">
        <v>1106</v>
      </c>
      <c r="J388" s="1" t="s">
        <v>32</v>
      </c>
      <c r="K388" s="1" t="s">
        <v>46</v>
      </c>
      <c r="L388" s="2">
        <v>46813</v>
      </c>
      <c r="M388" s="4">
        <v>3900000</v>
      </c>
      <c r="N388" s="1" t="s">
        <v>23</v>
      </c>
      <c r="O388" s="3">
        <v>138</v>
      </c>
    </row>
    <row r="389" spans="1:16" x14ac:dyDescent="0.3">
      <c r="A389" s="1" t="s">
        <v>16</v>
      </c>
      <c r="B389" s="1" t="s">
        <v>159</v>
      </c>
      <c r="C389" s="1" t="s">
        <v>589</v>
      </c>
      <c r="D389" s="1" t="s">
        <v>161</v>
      </c>
      <c r="E389" s="1" t="s">
        <v>28</v>
      </c>
      <c r="F389" s="1">
        <v>51049</v>
      </c>
      <c r="G389" s="1" t="s">
        <v>1107</v>
      </c>
      <c r="H389" s="1" t="s">
        <v>1108</v>
      </c>
      <c r="I389" s="1" t="s">
        <v>1109</v>
      </c>
      <c r="J389" s="1" t="s">
        <v>32</v>
      </c>
      <c r="K389" s="1" t="s">
        <v>46</v>
      </c>
      <c r="L389" s="2">
        <v>47178</v>
      </c>
      <c r="M389" s="4">
        <v>2341000</v>
      </c>
      <c r="N389" s="1" t="s">
        <v>23</v>
      </c>
      <c r="O389" s="3">
        <v>138</v>
      </c>
    </row>
    <row r="390" spans="1:16" x14ac:dyDescent="0.3">
      <c r="A390" s="1" t="s">
        <v>16</v>
      </c>
      <c r="B390" s="1" t="s">
        <v>159</v>
      </c>
      <c r="C390" s="1" t="s">
        <v>224</v>
      </c>
      <c r="D390" s="1" t="s">
        <v>164</v>
      </c>
      <c r="E390" s="1" t="s">
        <v>56</v>
      </c>
      <c r="F390" s="1">
        <v>51050</v>
      </c>
      <c r="G390" s="1" t="s">
        <v>1110</v>
      </c>
      <c r="H390" s="1" t="s">
        <v>1111</v>
      </c>
      <c r="I390" s="1" t="s">
        <v>1112</v>
      </c>
      <c r="J390" s="1" t="s">
        <v>22</v>
      </c>
      <c r="L390" s="2">
        <v>47848</v>
      </c>
      <c r="M390" s="4">
        <v>5092439</v>
      </c>
      <c r="N390" s="1" t="s">
        <v>23</v>
      </c>
      <c r="O390" s="3">
        <v>69</v>
      </c>
    </row>
    <row r="391" spans="1:16" x14ac:dyDescent="0.3">
      <c r="A391" s="1" t="s">
        <v>16</v>
      </c>
      <c r="B391" s="1" t="s">
        <v>159</v>
      </c>
      <c r="C391" s="1" t="s">
        <v>589</v>
      </c>
      <c r="D391" s="1" t="s">
        <v>161</v>
      </c>
      <c r="E391" s="1" t="s">
        <v>28</v>
      </c>
      <c r="F391" s="1">
        <v>51051</v>
      </c>
      <c r="G391" s="1" t="s">
        <v>1113</v>
      </c>
      <c r="H391" s="1" t="s">
        <v>1114</v>
      </c>
      <c r="I391" s="1" t="s">
        <v>1115</v>
      </c>
      <c r="J391" s="1" t="s">
        <v>32</v>
      </c>
      <c r="K391" s="1" t="s">
        <v>205</v>
      </c>
      <c r="L391" s="2">
        <v>46935</v>
      </c>
      <c r="M391" s="4">
        <v>11100000</v>
      </c>
      <c r="N391" s="1" t="s">
        <v>50</v>
      </c>
      <c r="O391" s="3">
        <v>138</v>
      </c>
    </row>
    <row r="392" spans="1:16" x14ac:dyDescent="0.3">
      <c r="A392" s="1" t="s">
        <v>16</v>
      </c>
      <c r="B392" s="1" t="s">
        <v>159</v>
      </c>
      <c r="C392" s="1" t="s">
        <v>72</v>
      </c>
      <c r="D392" s="1" t="s">
        <v>161</v>
      </c>
      <c r="E392" s="1" t="s">
        <v>73</v>
      </c>
      <c r="F392" s="1">
        <v>51052</v>
      </c>
      <c r="G392" s="1" t="s">
        <v>1116</v>
      </c>
      <c r="H392" s="1" t="s">
        <v>1117</v>
      </c>
      <c r="I392" s="1" t="s">
        <v>449</v>
      </c>
      <c r="J392" s="1" t="s">
        <v>101</v>
      </c>
      <c r="L392" s="2">
        <v>46357</v>
      </c>
      <c r="M392" s="4">
        <v>1000000</v>
      </c>
      <c r="N392" s="1" t="s">
        <v>23</v>
      </c>
      <c r="O392" s="3">
        <v>138</v>
      </c>
    </row>
    <row r="393" spans="1:16" x14ac:dyDescent="0.3">
      <c r="A393" s="1" t="s">
        <v>16</v>
      </c>
      <c r="B393" s="1" t="s">
        <v>159</v>
      </c>
      <c r="C393" s="1" t="s">
        <v>219</v>
      </c>
      <c r="D393" s="1" t="s">
        <v>164</v>
      </c>
      <c r="E393" s="1" t="s">
        <v>56</v>
      </c>
      <c r="F393" s="1">
        <v>51053</v>
      </c>
      <c r="G393" s="1" t="s">
        <v>1118</v>
      </c>
      <c r="H393" s="1" t="s">
        <v>1119</v>
      </c>
      <c r="I393" s="1" t="s">
        <v>705</v>
      </c>
      <c r="J393" s="1" t="s">
        <v>32</v>
      </c>
      <c r="K393" s="1" t="s">
        <v>46</v>
      </c>
      <c r="L393" s="2">
        <v>47438</v>
      </c>
      <c r="M393" s="4">
        <v>15000000</v>
      </c>
      <c r="N393" s="1" t="s">
        <v>23</v>
      </c>
      <c r="O393" s="3">
        <v>115</v>
      </c>
      <c r="P393" s="3">
        <v>12</v>
      </c>
    </row>
    <row r="394" spans="1:16" x14ac:dyDescent="0.3">
      <c r="A394" s="1" t="s">
        <v>16</v>
      </c>
      <c r="B394" s="1" t="s">
        <v>159</v>
      </c>
      <c r="C394" s="1" t="s">
        <v>219</v>
      </c>
      <c r="D394" s="1" t="s">
        <v>164</v>
      </c>
      <c r="E394" s="1" t="s">
        <v>56</v>
      </c>
      <c r="F394" s="1">
        <v>51055</v>
      </c>
      <c r="G394" s="1" t="s">
        <v>1120</v>
      </c>
      <c r="H394" s="1" t="s">
        <v>1121</v>
      </c>
      <c r="I394" s="1" t="s">
        <v>1122</v>
      </c>
      <c r="J394" s="1" t="s">
        <v>32</v>
      </c>
      <c r="K394" s="1" t="s">
        <v>205</v>
      </c>
      <c r="L394" s="2">
        <v>47635</v>
      </c>
      <c r="M394" s="4">
        <v>31000000</v>
      </c>
      <c r="N394" s="1" t="s">
        <v>23</v>
      </c>
      <c r="O394" s="3">
        <v>161</v>
      </c>
      <c r="P394" s="3">
        <v>69</v>
      </c>
    </row>
    <row r="395" spans="1:16" x14ac:dyDescent="0.3">
      <c r="A395" s="1" t="s">
        <v>16</v>
      </c>
      <c r="B395" s="1" t="s">
        <v>159</v>
      </c>
      <c r="C395" s="1" t="s">
        <v>589</v>
      </c>
      <c r="D395" s="1" t="s">
        <v>161</v>
      </c>
      <c r="E395" s="1" t="s">
        <v>28</v>
      </c>
      <c r="F395" s="1">
        <v>51056</v>
      </c>
      <c r="G395" s="1" t="s">
        <v>1123</v>
      </c>
      <c r="H395" s="1" t="s">
        <v>1124</v>
      </c>
      <c r="I395" s="1" t="s">
        <v>1125</v>
      </c>
      <c r="J395" s="1" t="s">
        <v>32</v>
      </c>
      <c r="K395" s="1" t="s">
        <v>46</v>
      </c>
      <c r="L395" s="2">
        <v>47453</v>
      </c>
      <c r="M395" s="4">
        <v>10000</v>
      </c>
      <c r="N395" s="1" t="s">
        <v>23</v>
      </c>
      <c r="O395" s="3">
        <v>138</v>
      </c>
    </row>
    <row r="396" spans="1:16" x14ac:dyDescent="0.3">
      <c r="A396" s="1" t="s">
        <v>16</v>
      </c>
      <c r="B396" s="1" t="s">
        <v>159</v>
      </c>
      <c r="C396" s="1" t="s">
        <v>37</v>
      </c>
      <c r="D396" s="1" t="s">
        <v>164</v>
      </c>
      <c r="E396" s="1" t="s">
        <v>42</v>
      </c>
      <c r="F396" s="1">
        <v>51057</v>
      </c>
      <c r="G396" s="1" t="s">
        <v>1126</v>
      </c>
      <c r="H396" s="1" t="s">
        <v>1127</v>
      </c>
      <c r="I396" s="1" t="s">
        <v>356</v>
      </c>
      <c r="J396" s="1" t="s">
        <v>32</v>
      </c>
      <c r="K396" s="1" t="s">
        <v>205</v>
      </c>
      <c r="L396" s="2">
        <v>46722</v>
      </c>
      <c r="M396" s="4">
        <v>1300000000</v>
      </c>
      <c r="N396" s="1" t="s">
        <v>1128</v>
      </c>
      <c r="O396" s="3">
        <v>345</v>
      </c>
    </row>
    <row r="397" spans="1:16" x14ac:dyDescent="0.3">
      <c r="A397" s="1" t="s">
        <v>16</v>
      </c>
      <c r="B397" s="1" t="s">
        <v>159</v>
      </c>
      <c r="C397" s="1" t="s">
        <v>412</v>
      </c>
      <c r="D397" s="1" t="s">
        <v>163</v>
      </c>
      <c r="E397" s="1" t="s">
        <v>350</v>
      </c>
      <c r="F397" s="1">
        <v>51058</v>
      </c>
      <c r="G397" s="1" t="s">
        <v>1129</v>
      </c>
      <c r="H397" s="1" t="s">
        <v>1130</v>
      </c>
      <c r="I397" s="1" t="s">
        <v>1131</v>
      </c>
      <c r="J397" s="1" t="s">
        <v>32</v>
      </c>
      <c r="K397" s="1" t="s">
        <v>33</v>
      </c>
      <c r="L397" s="2">
        <v>46478</v>
      </c>
      <c r="M397" s="4">
        <v>6057279</v>
      </c>
      <c r="N397" s="1" t="s">
        <v>50</v>
      </c>
      <c r="O397" s="3">
        <v>230</v>
      </c>
    </row>
    <row r="398" spans="1:16" x14ac:dyDescent="0.3">
      <c r="A398" s="1" t="s">
        <v>16</v>
      </c>
      <c r="B398" s="1" t="s">
        <v>159</v>
      </c>
      <c r="C398" s="1" t="s">
        <v>412</v>
      </c>
      <c r="D398" s="1" t="s">
        <v>163</v>
      </c>
      <c r="E398" s="1" t="s">
        <v>350</v>
      </c>
      <c r="F398" s="1">
        <v>51059</v>
      </c>
      <c r="G398" s="1" t="s">
        <v>1132</v>
      </c>
      <c r="H398" s="1" t="s">
        <v>1133</v>
      </c>
      <c r="I398" s="1" t="s">
        <v>1134</v>
      </c>
      <c r="J398" s="1" t="s">
        <v>32</v>
      </c>
      <c r="K398" s="1" t="s">
        <v>33</v>
      </c>
      <c r="L398" s="2">
        <v>46752</v>
      </c>
      <c r="M398" s="4">
        <v>9841651</v>
      </c>
      <c r="N398" s="1" t="s">
        <v>50</v>
      </c>
      <c r="O398" s="3">
        <v>230</v>
      </c>
    </row>
    <row r="399" spans="1:16" x14ac:dyDescent="0.3">
      <c r="A399" s="1" t="s">
        <v>16</v>
      </c>
      <c r="B399" s="1" t="s">
        <v>159</v>
      </c>
      <c r="C399" s="1" t="s">
        <v>1135</v>
      </c>
      <c r="D399" s="1" t="s">
        <v>161</v>
      </c>
      <c r="E399" s="1" t="s">
        <v>1136</v>
      </c>
      <c r="F399" s="1">
        <v>51062</v>
      </c>
      <c r="G399" s="1" t="s">
        <v>1137</v>
      </c>
      <c r="H399" s="1" t="s">
        <v>1138</v>
      </c>
      <c r="I399" s="1" t="s">
        <v>1139</v>
      </c>
      <c r="J399" s="1" t="s">
        <v>32</v>
      </c>
      <c r="K399" s="1" t="s">
        <v>46</v>
      </c>
      <c r="L399" s="2">
        <v>46447</v>
      </c>
      <c r="M399" s="4">
        <v>3697454</v>
      </c>
      <c r="N399" s="1" t="s">
        <v>23</v>
      </c>
      <c r="O399" s="3">
        <v>345</v>
      </c>
    </row>
    <row r="400" spans="1:16" x14ac:dyDescent="0.3">
      <c r="A400" s="1" t="s">
        <v>16</v>
      </c>
      <c r="B400" s="1" t="s">
        <v>159</v>
      </c>
      <c r="C400" s="1" t="s">
        <v>412</v>
      </c>
      <c r="D400" s="1" t="s">
        <v>163</v>
      </c>
      <c r="E400" s="1" t="s">
        <v>350</v>
      </c>
      <c r="F400" s="1">
        <v>51063</v>
      </c>
      <c r="G400" s="1" t="s">
        <v>1140</v>
      </c>
      <c r="H400" s="1" t="s">
        <v>1141</v>
      </c>
      <c r="I400" s="1" t="s">
        <v>1142</v>
      </c>
      <c r="J400" s="1" t="s">
        <v>32</v>
      </c>
      <c r="K400" s="1" t="s">
        <v>46</v>
      </c>
      <c r="L400" s="2">
        <v>47118</v>
      </c>
      <c r="M400" s="4">
        <v>1902000</v>
      </c>
      <c r="N400" s="1" t="s">
        <v>50</v>
      </c>
      <c r="O400" s="3">
        <v>230</v>
      </c>
    </row>
    <row r="401" spans="1:16" x14ac:dyDescent="0.3">
      <c r="A401" s="1" t="s">
        <v>16</v>
      </c>
      <c r="B401" s="1" t="s">
        <v>159</v>
      </c>
      <c r="C401" s="1" t="s">
        <v>412</v>
      </c>
      <c r="D401" s="1" t="s">
        <v>163</v>
      </c>
      <c r="E401" s="1" t="s">
        <v>350</v>
      </c>
      <c r="F401" s="1">
        <v>51064</v>
      </c>
      <c r="G401" s="1" t="s">
        <v>1143</v>
      </c>
      <c r="H401" s="1" t="s">
        <v>1144</v>
      </c>
      <c r="I401" s="1" t="s">
        <v>1145</v>
      </c>
      <c r="J401" s="1" t="s">
        <v>32</v>
      </c>
      <c r="K401" s="1" t="s">
        <v>46</v>
      </c>
      <c r="L401" s="2">
        <v>47118</v>
      </c>
      <c r="M401" s="4">
        <v>2860000</v>
      </c>
      <c r="N401" s="1" t="s">
        <v>50</v>
      </c>
      <c r="O401" s="3">
        <v>115</v>
      </c>
    </row>
    <row r="402" spans="1:16" x14ac:dyDescent="0.3">
      <c r="A402" s="1" t="s">
        <v>16</v>
      </c>
      <c r="B402" s="1" t="s">
        <v>159</v>
      </c>
      <c r="C402" s="1" t="s">
        <v>412</v>
      </c>
      <c r="D402" s="1" t="s">
        <v>163</v>
      </c>
      <c r="E402" s="1" t="s">
        <v>350</v>
      </c>
      <c r="F402" s="1">
        <v>51065</v>
      </c>
      <c r="G402" s="1" t="s">
        <v>1146</v>
      </c>
      <c r="H402" s="1" t="s">
        <v>1147</v>
      </c>
      <c r="I402" s="1" t="s">
        <v>1148</v>
      </c>
      <c r="J402" s="1" t="s">
        <v>32</v>
      </c>
      <c r="K402" s="1" t="s">
        <v>46</v>
      </c>
      <c r="L402" s="2">
        <v>47453</v>
      </c>
      <c r="M402" s="4">
        <v>4646000</v>
      </c>
      <c r="N402" s="1" t="s">
        <v>50</v>
      </c>
      <c r="O402" s="3">
        <v>230</v>
      </c>
    </row>
    <row r="403" spans="1:16" x14ac:dyDescent="0.3">
      <c r="A403" s="1" t="s">
        <v>16</v>
      </c>
      <c r="B403" s="1" t="s">
        <v>159</v>
      </c>
      <c r="C403" s="1" t="s">
        <v>412</v>
      </c>
      <c r="D403" s="1" t="s">
        <v>163</v>
      </c>
      <c r="E403" s="1" t="s">
        <v>350</v>
      </c>
      <c r="F403" s="1">
        <v>51066</v>
      </c>
      <c r="G403" s="1" t="s">
        <v>1149</v>
      </c>
      <c r="H403" s="1" t="s">
        <v>1150</v>
      </c>
      <c r="I403" s="1" t="s">
        <v>1151</v>
      </c>
      <c r="J403" s="1" t="s">
        <v>32</v>
      </c>
      <c r="K403" s="1" t="s">
        <v>46</v>
      </c>
      <c r="L403" s="2">
        <v>46752</v>
      </c>
      <c r="M403" s="4">
        <v>715000</v>
      </c>
      <c r="N403" s="1" t="s">
        <v>23</v>
      </c>
      <c r="O403" s="3">
        <v>69</v>
      </c>
    </row>
    <row r="404" spans="1:16" x14ac:dyDescent="0.3">
      <c r="A404" s="1" t="s">
        <v>16</v>
      </c>
      <c r="B404" s="1" t="s">
        <v>159</v>
      </c>
      <c r="C404" s="1" t="s">
        <v>412</v>
      </c>
      <c r="D404" s="1" t="s">
        <v>163</v>
      </c>
      <c r="E404" s="1" t="s">
        <v>350</v>
      </c>
      <c r="F404" s="1">
        <v>51067</v>
      </c>
      <c r="G404" s="1" t="s">
        <v>1152</v>
      </c>
      <c r="H404" s="1" t="s">
        <v>1153</v>
      </c>
      <c r="I404" s="1" t="s">
        <v>1154</v>
      </c>
      <c r="J404" s="1" t="s">
        <v>32</v>
      </c>
      <c r="K404" s="1" t="s">
        <v>46</v>
      </c>
      <c r="L404" s="2">
        <v>46752</v>
      </c>
      <c r="M404" s="4">
        <v>860000</v>
      </c>
      <c r="N404" s="1" t="s">
        <v>23</v>
      </c>
      <c r="O404" s="3">
        <v>69</v>
      </c>
    </row>
    <row r="405" spans="1:16" x14ac:dyDescent="0.3">
      <c r="A405" s="1" t="s">
        <v>16</v>
      </c>
      <c r="B405" s="1" t="s">
        <v>159</v>
      </c>
      <c r="C405" s="1" t="s">
        <v>412</v>
      </c>
      <c r="D405" s="1" t="s">
        <v>163</v>
      </c>
      <c r="E405" s="1" t="s">
        <v>350</v>
      </c>
      <c r="F405" s="1">
        <v>51068</v>
      </c>
      <c r="G405" s="1" t="s">
        <v>1155</v>
      </c>
      <c r="H405" s="1" t="s">
        <v>1156</v>
      </c>
      <c r="I405" s="1" t="s">
        <v>1157</v>
      </c>
      <c r="J405" s="1" t="s">
        <v>32</v>
      </c>
      <c r="K405" s="1" t="s">
        <v>46</v>
      </c>
      <c r="L405" s="2">
        <v>46905</v>
      </c>
      <c r="M405" s="4">
        <v>1381000</v>
      </c>
      <c r="N405" s="1" t="s">
        <v>23</v>
      </c>
      <c r="O405" s="3">
        <v>69</v>
      </c>
    </row>
    <row r="406" spans="1:16" x14ac:dyDescent="0.3">
      <c r="A406" s="1" t="s">
        <v>16</v>
      </c>
      <c r="B406" s="1" t="s">
        <v>159</v>
      </c>
      <c r="C406" s="1" t="s">
        <v>412</v>
      </c>
      <c r="D406" s="1" t="s">
        <v>163</v>
      </c>
      <c r="E406" s="1" t="s">
        <v>350</v>
      </c>
      <c r="F406" s="1">
        <v>51069</v>
      </c>
      <c r="G406" s="1" t="s">
        <v>1158</v>
      </c>
      <c r="H406" s="1" t="s">
        <v>1159</v>
      </c>
      <c r="I406" s="1" t="s">
        <v>1160</v>
      </c>
      <c r="J406" s="1" t="s">
        <v>32</v>
      </c>
      <c r="K406" s="1" t="s">
        <v>46</v>
      </c>
      <c r="L406" s="2">
        <v>46905</v>
      </c>
      <c r="M406" s="4">
        <v>5200000</v>
      </c>
      <c r="N406" s="1" t="s">
        <v>23</v>
      </c>
      <c r="O406" s="3">
        <v>69</v>
      </c>
    </row>
    <row r="407" spans="1:16" x14ac:dyDescent="0.3">
      <c r="A407" s="1" t="s">
        <v>16</v>
      </c>
      <c r="B407" s="1" t="s">
        <v>159</v>
      </c>
      <c r="C407" s="1" t="s">
        <v>412</v>
      </c>
      <c r="D407" s="1" t="s">
        <v>163</v>
      </c>
      <c r="E407" s="1" t="s">
        <v>350</v>
      </c>
      <c r="F407" s="1">
        <v>51070</v>
      </c>
      <c r="G407" s="1" t="s">
        <v>1161</v>
      </c>
      <c r="H407" s="1" t="s">
        <v>1162</v>
      </c>
      <c r="I407" s="1" t="s">
        <v>1163</v>
      </c>
      <c r="J407" s="1" t="s">
        <v>32</v>
      </c>
      <c r="K407" s="1" t="s">
        <v>46</v>
      </c>
      <c r="L407" s="2">
        <v>47453</v>
      </c>
      <c r="M407" s="4">
        <v>16892500</v>
      </c>
      <c r="N407" s="1" t="s">
        <v>50</v>
      </c>
      <c r="O407" s="3">
        <v>230</v>
      </c>
    </row>
    <row r="408" spans="1:16" x14ac:dyDescent="0.3">
      <c r="A408" s="1" t="s">
        <v>16</v>
      </c>
      <c r="B408" s="1" t="s">
        <v>159</v>
      </c>
      <c r="C408" s="1" t="s">
        <v>412</v>
      </c>
      <c r="D408" s="1" t="s">
        <v>163</v>
      </c>
      <c r="E408" s="1" t="s">
        <v>350</v>
      </c>
      <c r="F408" s="1">
        <v>51071</v>
      </c>
      <c r="G408" s="1" t="s">
        <v>1164</v>
      </c>
      <c r="H408" s="1" t="s">
        <v>1165</v>
      </c>
      <c r="I408" s="1" t="s">
        <v>1166</v>
      </c>
      <c r="J408" s="1" t="s">
        <v>32</v>
      </c>
      <c r="K408" s="1" t="s">
        <v>46</v>
      </c>
      <c r="L408" s="2">
        <v>47635</v>
      </c>
      <c r="M408" s="4">
        <v>51600000</v>
      </c>
      <c r="N408" s="1" t="s">
        <v>23</v>
      </c>
      <c r="O408" s="3">
        <v>115</v>
      </c>
    </row>
    <row r="409" spans="1:16" x14ac:dyDescent="0.3">
      <c r="A409" s="1" t="s">
        <v>16</v>
      </c>
      <c r="B409" s="1" t="s">
        <v>159</v>
      </c>
      <c r="C409" s="1" t="s">
        <v>412</v>
      </c>
      <c r="D409" s="1" t="s">
        <v>163</v>
      </c>
      <c r="E409" s="1" t="s">
        <v>350</v>
      </c>
      <c r="F409" s="1">
        <v>51073</v>
      </c>
      <c r="G409" s="1" t="s">
        <v>1167</v>
      </c>
      <c r="H409" s="1" t="s">
        <v>1168</v>
      </c>
      <c r="I409" s="1" t="s">
        <v>1169</v>
      </c>
      <c r="J409" s="1" t="s">
        <v>32</v>
      </c>
      <c r="K409" s="1" t="s">
        <v>46</v>
      </c>
      <c r="L409" s="2">
        <v>47635</v>
      </c>
      <c r="M409" s="4">
        <v>47485000</v>
      </c>
      <c r="N409" s="1" t="s">
        <v>23</v>
      </c>
      <c r="O409" s="3">
        <v>138</v>
      </c>
    </row>
    <row r="410" spans="1:16" x14ac:dyDescent="0.3">
      <c r="A410" s="1" t="s">
        <v>16</v>
      </c>
      <c r="B410" s="1" t="s">
        <v>160</v>
      </c>
      <c r="C410" s="1" t="s">
        <v>172</v>
      </c>
      <c r="D410" s="1" t="s">
        <v>164</v>
      </c>
      <c r="E410" s="1" t="s">
        <v>117</v>
      </c>
      <c r="F410" s="1">
        <v>51074</v>
      </c>
      <c r="G410" s="1" t="s">
        <v>1170</v>
      </c>
      <c r="H410" s="1" t="s">
        <v>1171</v>
      </c>
      <c r="I410" s="1" t="s">
        <v>1172</v>
      </c>
      <c r="J410" s="1" t="s">
        <v>32</v>
      </c>
      <c r="K410" s="1" t="s">
        <v>33</v>
      </c>
      <c r="L410" s="2">
        <v>47118</v>
      </c>
      <c r="M410" s="4">
        <v>5783328</v>
      </c>
      <c r="N410" s="1" t="s">
        <v>23</v>
      </c>
      <c r="O410" s="3">
        <v>42</v>
      </c>
    </row>
    <row r="411" spans="1:16" x14ac:dyDescent="0.3">
      <c r="A411" s="1" t="s">
        <v>16</v>
      </c>
      <c r="B411" s="1" t="s">
        <v>160</v>
      </c>
      <c r="C411" s="1" t="s">
        <v>172</v>
      </c>
      <c r="D411" s="1" t="s">
        <v>164</v>
      </c>
      <c r="E411" s="1" t="s">
        <v>1173</v>
      </c>
      <c r="F411" s="1">
        <v>51075</v>
      </c>
      <c r="G411" s="1" t="s">
        <v>1174</v>
      </c>
      <c r="H411" s="1" t="s">
        <v>1175</v>
      </c>
      <c r="I411" s="1" t="s">
        <v>1176</v>
      </c>
      <c r="J411" s="1" t="s">
        <v>32</v>
      </c>
      <c r="K411" s="1" t="s">
        <v>33</v>
      </c>
      <c r="L411" s="2">
        <v>47118</v>
      </c>
      <c r="M411" s="4">
        <v>7550002</v>
      </c>
      <c r="N411" s="1" t="s">
        <v>23</v>
      </c>
      <c r="O411" s="3">
        <v>60</v>
      </c>
    </row>
    <row r="412" spans="1:16" x14ac:dyDescent="0.3">
      <c r="A412" s="1" t="s">
        <v>16</v>
      </c>
      <c r="B412" s="1" t="s">
        <v>159</v>
      </c>
      <c r="C412" s="1" t="s">
        <v>41</v>
      </c>
      <c r="D412" s="1" t="s">
        <v>164</v>
      </c>
      <c r="E412" s="1" t="s">
        <v>56</v>
      </c>
      <c r="F412" s="1">
        <v>51076</v>
      </c>
      <c r="G412" s="1" t="s">
        <v>1177</v>
      </c>
      <c r="H412" s="1" t="s">
        <v>1178</v>
      </c>
      <c r="I412" s="1" t="s">
        <v>1179</v>
      </c>
      <c r="J412" s="1" t="s">
        <v>32</v>
      </c>
      <c r="K412" s="1" t="s">
        <v>46</v>
      </c>
      <c r="L412" s="2">
        <v>45911</v>
      </c>
      <c r="M412" s="4">
        <v>3500000</v>
      </c>
      <c r="N412" s="1" t="s">
        <v>171</v>
      </c>
      <c r="O412" s="3">
        <v>69</v>
      </c>
      <c r="P412" s="3">
        <v>14</v>
      </c>
    </row>
    <row r="413" spans="1:16" x14ac:dyDescent="0.3">
      <c r="A413" s="1" t="s">
        <v>16</v>
      </c>
      <c r="B413" s="1" t="s">
        <v>159</v>
      </c>
      <c r="C413" s="1" t="s">
        <v>41</v>
      </c>
      <c r="D413" s="1" t="s">
        <v>164</v>
      </c>
      <c r="E413" s="1" t="s">
        <v>56</v>
      </c>
      <c r="F413" s="1">
        <v>51077</v>
      </c>
      <c r="G413" s="1" t="s">
        <v>1180</v>
      </c>
      <c r="H413" s="1" t="s">
        <v>1181</v>
      </c>
      <c r="I413" s="1" t="s">
        <v>1182</v>
      </c>
      <c r="J413" s="1" t="s">
        <v>32</v>
      </c>
      <c r="K413" s="1" t="s">
        <v>46</v>
      </c>
      <c r="L413" s="2">
        <v>45911</v>
      </c>
      <c r="M413" s="4">
        <v>4000000</v>
      </c>
      <c r="N413" s="1" t="s">
        <v>171</v>
      </c>
      <c r="O413" s="3">
        <v>69</v>
      </c>
    </row>
    <row r="414" spans="1:16" x14ac:dyDescent="0.3">
      <c r="A414" s="1" t="s">
        <v>16</v>
      </c>
      <c r="B414" s="1" t="s">
        <v>159</v>
      </c>
      <c r="C414" s="1" t="s">
        <v>41</v>
      </c>
      <c r="D414" s="1" t="s">
        <v>164</v>
      </c>
      <c r="E414" s="1" t="s">
        <v>56</v>
      </c>
      <c r="F414" s="1">
        <v>51078</v>
      </c>
      <c r="G414" s="1" t="s">
        <v>1183</v>
      </c>
      <c r="H414" s="1" t="s">
        <v>1184</v>
      </c>
      <c r="I414" s="1" t="s">
        <v>1185</v>
      </c>
      <c r="J414" s="1" t="s">
        <v>32</v>
      </c>
      <c r="K414" s="1" t="s">
        <v>82</v>
      </c>
      <c r="L414" s="2">
        <v>45883</v>
      </c>
      <c r="M414" s="4">
        <v>1500000</v>
      </c>
      <c r="N414" s="1" t="s">
        <v>23</v>
      </c>
      <c r="O414" s="3">
        <v>345</v>
      </c>
    </row>
    <row r="415" spans="1:16" x14ac:dyDescent="0.3">
      <c r="A415" s="1" t="s">
        <v>16</v>
      </c>
      <c r="B415" s="1" t="s">
        <v>159</v>
      </c>
      <c r="C415" s="1" t="s">
        <v>27</v>
      </c>
      <c r="D415" s="1" t="s">
        <v>161</v>
      </c>
      <c r="E415" s="1" t="s">
        <v>28</v>
      </c>
      <c r="F415" s="1">
        <v>51079</v>
      </c>
      <c r="G415" s="1" t="s">
        <v>1186</v>
      </c>
      <c r="H415" s="1" t="s">
        <v>1187</v>
      </c>
      <c r="I415" s="1" t="s">
        <v>1188</v>
      </c>
      <c r="J415" s="1" t="s">
        <v>32</v>
      </c>
      <c r="K415" s="1" t="s">
        <v>205</v>
      </c>
      <c r="L415" s="2">
        <v>46539</v>
      </c>
      <c r="M415" s="4">
        <v>29900000</v>
      </c>
      <c r="N415" s="1" t="s">
        <v>50</v>
      </c>
      <c r="O415" s="3">
        <v>345</v>
      </c>
    </row>
    <row r="416" spans="1:16" x14ac:dyDescent="0.3">
      <c r="A416" s="1" t="s">
        <v>16</v>
      </c>
      <c r="B416" s="1" t="s">
        <v>159</v>
      </c>
      <c r="C416" s="1" t="s">
        <v>412</v>
      </c>
      <c r="D416" s="1" t="s">
        <v>163</v>
      </c>
      <c r="E416" s="1" t="s">
        <v>350</v>
      </c>
      <c r="F416" s="1">
        <v>51080</v>
      </c>
      <c r="G416" s="1" t="s">
        <v>1189</v>
      </c>
      <c r="H416" s="1" t="s">
        <v>1190</v>
      </c>
      <c r="I416" s="1" t="s">
        <v>1191</v>
      </c>
      <c r="J416" s="1" t="s">
        <v>32</v>
      </c>
      <c r="K416" s="1" t="s">
        <v>46</v>
      </c>
      <c r="L416" s="2">
        <v>47270</v>
      </c>
      <c r="M416" s="4">
        <v>5070000</v>
      </c>
      <c r="N416" s="1" t="s">
        <v>23</v>
      </c>
      <c r="O416" s="3">
        <v>115</v>
      </c>
    </row>
    <row r="417" spans="1:16" x14ac:dyDescent="0.3">
      <c r="A417" s="1" t="s">
        <v>16</v>
      </c>
      <c r="B417" s="1" t="s">
        <v>159</v>
      </c>
      <c r="C417" s="1" t="s">
        <v>366</v>
      </c>
      <c r="D417" s="1" t="s">
        <v>164</v>
      </c>
      <c r="E417" s="1" t="s">
        <v>367</v>
      </c>
      <c r="F417" s="1">
        <v>51085</v>
      </c>
      <c r="G417" s="1" t="s">
        <v>1192</v>
      </c>
      <c r="H417" s="1" t="s">
        <v>1193</v>
      </c>
      <c r="I417" s="1" t="s">
        <v>370</v>
      </c>
      <c r="J417" s="1" t="s">
        <v>32</v>
      </c>
      <c r="K417" s="1" t="s">
        <v>205</v>
      </c>
      <c r="L417" s="2">
        <v>47300</v>
      </c>
      <c r="M417" s="4">
        <v>64000000</v>
      </c>
      <c r="N417" s="1" t="s">
        <v>23</v>
      </c>
      <c r="O417" s="3">
        <v>345</v>
      </c>
    </row>
    <row r="418" spans="1:16" x14ac:dyDescent="0.3">
      <c r="A418" s="1" t="s">
        <v>16</v>
      </c>
      <c r="B418" s="1" t="s">
        <v>159</v>
      </c>
      <c r="C418" s="1" t="s">
        <v>976</v>
      </c>
      <c r="D418" s="1" t="s">
        <v>164</v>
      </c>
      <c r="E418" s="1" t="s">
        <v>56</v>
      </c>
      <c r="F418" s="1">
        <v>51086</v>
      </c>
      <c r="G418" s="1" t="s">
        <v>1194</v>
      </c>
      <c r="H418" s="1" t="s">
        <v>1195</v>
      </c>
      <c r="I418" s="1" t="s">
        <v>1196</v>
      </c>
      <c r="J418" s="1" t="s">
        <v>32</v>
      </c>
      <c r="K418" s="1" t="s">
        <v>205</v>
      </c>
      <c r="L418" s="2">
        <v>46356</v>
      </c>
      <c r="M418" s="4">
        <v>0</v>
      </c>
      <c r="N418" s="1" t="s">
        <v>50</v>
      </c>
      <c r="O418" s="3">
        <v>69</v>
      </c>
    </row>
    <row r="419" spans="1:16" x14ac:dyDescent="0.3">
      <c r="A419" s="1" t="s">
        <v>16</v>
      </c>
      <c r="B419" s="1" t="s">
        <v>159</v>
      </c>
      <c r="C419" s="1" t="s">
        <v>366</v>
      </c>
      <c r="D419" s="1" t="s">
        <v>164</v>
      </c>
      <c r="E419" s="1" t="s">
        <v>367</v>
      </c>
      <c r="F419" s="1">
        <v>51087</v>
      </c>
      <c r="G419" s="1" t="s">
        <v>1197</v>
      </c>
      <c r="H419" s="1" t="s">
        <v>1198</v>
      </c>
      <c r="I419" s="1" t="s">
        <v>1199</v>
      </c>
      <c r="J419" s="1" t="s">
        <v>32</v>
      </c>
      <c r="K419" s="1" t="s">
        <v>205</v>
      </c>
      <c r="L419" s="2">
        <v>47300</v>
      </c>
      <c r="M419" s="4">
        <v>103100000</v>
      </c>
      <c r="N419" s="1" t="s">
        <v>50</v>
      </c>
      <c r="O419" s="3">
        <v>345</v>
      </c>
      <c r="P419" s="3">
        <v>161</v>
      </c>
    </row>
    <row r="420" spans="1:16" x14ac:dyDescent="0.3">
      <c r="A420" s="1" t="s">
        <v>16</v>
      </c>
      <c r="B420" s="1" t="s">
        <v>159</v>
      </c>
      <c r="C420" s="1" t="s">
        <v>589</v>
      </c>
      <c r="D420" s="1" t="s">
        <v>161</v>
      </c>
      <c r="E420" s="1" t="s">
        <v>28</v>
      </c>
      <c r="F420" s="1">
        <v>51088</v>
      </c>
      <c r="G420" s="1" t="s">
        <v>1200</v>
      </c>
      <c r="H420" s="1" t="s">
        <v>1201</v>
      </c>
      <c r="I420" s="1" t="s">
        <v>1202</v>
      </c>
      <c r="J420" s="1" t="s">
        <v>32</v>
      </c>
      <c r="K420" s="1" t="s">
        <v>46</v>
      </c>
      <c r="L420" s="2">
        <v>47818</v>
      </c>
      <c r="M420" s="4">
        <v>44270000</v>
      </c>
      <c r="N420" s="1" t="s">
        <v>50</v>
      </c>
      <c r="O420" s="3">
        <v>345</v>
      </c>
      <c r="P420" s="3">
        <v>69</v>
      </c>
    </row>
    <row r="421" spans="1:16" x14ac:dyDescent="0.3">
      <c r="A421" s="1" t="s">
        <v>16</v>
      </c>
      <c r="B421" s="1" t="s">
        <v>159</v>
      </c>
      <c r="C421" s="1" t="s">
        <v>589</v>
      </c>
      <c r="D421" s="1" t="s">
        <v>161</v>
      </c>
      <c r="E421" s="1" t="s">
        <v>28</v>
      </c>
      <c r="F421" s="1">
        <v>51089</v>
      </c>
      <c r="G421" s="1" t="s">
        <v>1203</v>
      </c>
      <c r="H421" s="1" t="s">
        <v>1204</v>
      </c>
      <c r="I421" s="1" t="s">
        <v>1205</v>
      </c>
      <c r="J421" s="1" t="s">
        <v>32</v>
      </c>
      <c r="K421" s="1" t="s">
        <v>46</v>
      </c>
      <c r="L421" s="2">
        <v>47088</v>
      </c>
      <c r="M421" s="4">
        <v>56859000</v>
      </c>
      <c r="N421" s="1" t="s">
        <v>50</v>
      </c>
      <c r="O421" s="3">
        <v>161</v>
      </c>
      <c r="P421" s="3">
        <v>69</v>
      </c>
    </row>
    <row r="422" spans="1:16" x14ac:dyDescent="0.3">
      <c r="A422" s="1" t="s">
        <v>16</v>
      </c>
      <c r="B422" s="1" t="s">
        <v>159</v>
      </c>
      <c r="C422" s="1" t="s">
        <v>589</v>
      </c>
      <c r="D422" s="1" t="s">
        <v>161</v>
      </c>
      <c r="E422" s="1" t="s">
        <v>28</v>
      </c>
      <c r="F422" s="1">
        <v>51090</v>
      </c>
      <c r="G422" s="1" t="s">
        <v>1206</v>
      </c>
      <c r="H422" s="1" t="s">
        <v>1207</v>
      </c>
      <c r="I422" s="1" t="s">
        <v>1208</v>
      </c>
      <c r="J422" s="1" t="s">
        <v>32</v>
      </c>
      <c r="K422" s="1" t="s">
        <v>205</v>
      </c>
      <c r="L422" s="2">
        <v>46813</v>
      </c>
      <c r="M422" s="4">
        <v>27200000</v>
      </c>
      <c r="N422" s="1" t="s">
        <v>50</v>
      </c>
      <c r="O422" s="3">
        <v>138</v>
      </c>
    </row>
    <row r="423" spans="1:16" x14ac:dyDescent="0.3">
      <c r="A423" s="1" t="s">
        <v>16</v>
      </c>
      <c r="B423" s="1" t="s">
        <v>159</v>
      </c>
      <c r="C423" s="1" t="s">
        <v>380</v>
      </c>
      <c r="D423" s="1" t="s">
        <v>161</v>
      </c>
      <c r="E423" s="1" t="s">
        <v>73</v>
      </c>
      <c r="F423" s="1">
        <v>51091</v>
      </c>
      <c r="G423" s="1" t="s">
        <v>1209</v>
      </c>
      <c r="H423" s="1" t="s">
        <v>1210</v>
      </c>
      <c r="I423" s="1" t="s">
        <v>1211</v>
      </c>
      <c r="J423" s="1" t="s">
        <v>32</v>
      </c>
      <c r="K423" s="1" t="s">
        <v>33</v>
      </c>
      <c r="L423" s="2">
        <v>46387</v>
      </c>
      <c r="M423" s="4">
        <v>872500</v>
      </c>
      <c r="N423" s="1" t="s">
        <v>23</v>
      </c>
      <c r="O423" s="3">
        <v>161</v>
      </c>
      <c r="P423" s="3">
        <v>69</v>
      </c>
    </row>
    <row r="424" spans="1:16" x14ac:dyDescent="0.3">
      <c r="A424" s="1" t="s">
        <v>16</v>
      </c>
      <c r="B424" s="1" t="s">
        <v>159</v>
      </c>
      <c r="C424" s="1" t="s">
        <v>1212</v>
      </c>
      <c r="D424" s="1" t="s">
        <v>161</v>
      </c>
      <c r="E424" s="1" t="s">
        <v>28</v>
      </c>
      <c r="F424" s="1">
        <v>51092</v>
      </c>
      <c r="G424" s="1" t="s">
        <v>1213</v>
      </c>
      <c r="H424" s="1" t="s">
        <v>1214</v>
      </c>
      <c r="I424" s="1" t="s">
        <v>1215</v>
      </c>
      <c r="J424" s="1" t="s">
        <v>32</v>
      </c>
      <c r="K424" s="1" t="s">
        <v>205</v>
      </c>
      <c r="L424" s="2">
        <v>46752</v>
      </c>
      <c r="M424" s="4">
        <v>25000000</v>
      </c>
      <c r="N424" s="1" t="s">
        <v>50</v>
      </c>
      <c r="O424" s="3">
        <v>138</v>
      </c>
    </row>
    <row r="425" spans="1:16" x14ac:dyDescent="0.3">
      <c r="A425" s="1" t="s">
        <v>16</v>
      </c>
      <c r="B425" s="1" t="s">
        <v>159</v>
      </c>
      <c r="C425" s="1" t="s">
        <v>589</v>
      </c>
      <c r="D425" s="1" t="s">
        <v>161</v>
      </c>
      <c r="E425" s="1" t="s">
        <v>28</v>
      </c>
      <c r="F425" s="1">
        <v>51093</v>
      </c>
      <c r="G425" s="1" t="s">
        <v>1216</v>
      </c>
      <c r="H425" s="1" t="s">
        <v>1217</v>
      </c>
      <c r="I425" s="1" t="s">
        <v>1218</v>
      </c>
      <c r="J425" s="1" t="s">
        <v>32</v>
      </c>
      <c r="K425" s="1" t="s">
        <v>205</v>
      </c>
      <c r="L425" s="2">
        <v>46753</v>
      </c>
      <c r="M425" s="4">
        <v>75300000</v>
      </c>
      <c r="N425" s="1" t="s">
        <v>50</v>
      </c>
      <c r="O425" s="3">
        <v>345</v>
      </c>
    </row>
    <row r="426" spans="1:16" x14ac:dyDescent="0.3">
      <c r="A426" s="1" t="s">
        <v>16</v>
      </c>
      <c r="B426" s="1" t="s">
        <v>159</v>
      </c>
      <c r="C426" s="1" t="s">
        <v>976</v>
      </c>
      <c r="D426" s="1" t="s">
        <v>164</v>
      </c>
      <c r="E426" s="1" t="s">
        <v>56</v>
      </c>
      <c r="F426" s="1">
        <v>51094</v>
      </c>
      <c r="G426" s="1" t="s">
        <v>1219</v>
      </c>
      <c r="H426" s="1" t="s">
        <v>1220</v>
      </c>
      <c r="I426" s="1" t="s">
        <v>705</v>
      </c>
      <c r="J426" s="1" t="s">
        <v>32</v>
      </c>
      <c r="K426" s="1" t="s">
        <v>46</v>
      </c>
      <c r="L426" s="2">
        <v>48404</v>
      </c>
      <c r="M426" s="4">
        <v>8908000</v>
      </c>
      <c r="N426" s="1" t="s">
        <v>23</v>
      </c>
      <c r="O426" s="3">
        <v>115</v>
      </c>
    </row>
    <row r="427" spans="1:16" x14ac:dyDescent="0.3">
      <c r="A427" s="1" t="s">
        <v>16</v>
      </c>
      <c r="B427" s="1" t="s">
        <v>159</v>
      </c>
      <c r="C427" s="1" t="s">
        <v>41</v>
      </c>
      <c r="D427" s="1" t="s">
        <v>164</v>
      </c>
      <c r="E427" s="1" t="s">
        <v>56</v>
      </c>
      <c r="F427" s="1">
        <v>51095</v>
      </c>
      <c r="G427" s="1" t="s">
        <v>1221</v>
      </c>
      <c r="H427" s="1" t="s">
        <v>1222</v>
      </c>
      <c r="I427" s="1" t="s">
        <v>1223</v>
      </c>
      <c r="J427" s="1" t="s">
        <v>22</v>
      </c>
      <c r="L427" s="2">
        <v>47270</v>
      </c>
      <c r="M427" s="4">
        <v>15000000</v>
      </c>
      <c r="N427" s="1" t="s">
        <v>23</v>
      </c>
      <c r="O427" s="3">
        <v>345</v>
      </c>
      <c r="P427" s="3">
        <v>115</v>
      </c>
    </row>
    <row r="428" spans="1:16" x14ac:dyDescent="0.3">
      <c r="A428" s="1" t="s">
        <v>16</v>
      </c>
      <c r="B428" s="1" t="s">
        <v>159</v>
      </c>
      <c r="C428" s="1" t="s">
        <v>750</v>
      </c>
      <c r="D428" s="1" t="s">
        <v>163</v>
      </c>
      <c r="E428" s="1" t="s">
        <v>358</v>
      </c>
      <c r="F428" s="1">
        <v>51097</v>
      </c>
      <c r="G428" s="1" t="s">
        <v>1224</v>
      </c>
      <c r="H428" s="1" t="s">
        <v>1225</v>
      </c>
      <c r="I428" s="1" t="s">
        <v>1226</v>
      </c>
      <c r="J428" s="1" t="s">
        <v>32</v>
      </c>
      <c r="K428" s="1" t="s">
        <v>205</v>
      </c>
      <c r="L428" s="2">
        <v>47299</v>
      </c>
      <c r="M428" s="4">
        <v>40000000</v>
      </c>
      <c r="N428" s="1" t="s">
        <v>23</v>
      </c>
      <c r="O428" s="3">
        <v>115</v>
      </c>
    </row>
    <row r="429" spans="1:16" x14ac:dyDescent="0.3">
      <c r="A429" s="1" t="s">
        <v>16</v>
      </c>
      <c r="B429" s="1" t="s">
        <v>160</v>
      </c>
      <c r="C429" s="1" t="s">
        <v>224</v>
      </c>
      <c r="D429" s="1" t="s">
        <v>164</v>
      </c>
      <c r="E429" s="1" t="s">
        <v>56</v>
      </c>
      <c r="F429" s="1">
        <v>51098</v>
      </c>
      <c r="G429" s="1" t="s">
        <v>1227</v>
      </c>
      <c r="H429" s="1" t="s">
        <v>1228</v>
      </c>
      <c r="I429" s="1" t="s">
        <v>1229</v>
      </c>
      <c r="J429" s="1" t="s">
        <v>22</v>
      </c>
      <c r="L429" s="2">
        <v>46752</v>
      </c>
      <c r="M429" s="4">
        <v>45146773</v>
      </c>
      <c r="N429" s="1" t="s">
        <v>23</v>
      </c>
      <c r="O429" s="3">
        <v>345</v>
      </c>
    </row>
    <row r="430" spans="1:16" x14ac:dyDescent="0.3">
      <c r="A430" s="1" t="s">
        <v>16</v>
      </c>
      <c r="B430" s="1" t="s">
        <v>159</v>
      </c>
      <c r="C430" s="1" t="s">
        <v>37</v>
      </c>
      <c r="D430" s="1" t="s">
        <v>164</v>
      </c>
      <c r="E430" s="1" t="s">
        <v>192</v>
      </c>
      <c r="F430" s="1">
        <v>51099</v>
      </c>
      <c r="G430" s="1" t="s">
        <v>1230</v>
      </c>
      <c r="H430" s="1" t="s">
        <v>1231</v>
      </c>
      <c r="I430" s="1" t="s">
        <v>411</v>
      </c>
      <c r="J430" s="1" t="s">
        <v>32</v>
      </c>
      <c r="K430" s="1" t="s">
        <v>33</v>
      </c>
      <c r="L430" s="2">
        <v>46722</v>
      </c>
      <c r="M430" s="4">
        <v>6200000</v>
      </c>
      <c r="N430" s="1" t="s">
        <v>23</v>
      </c>
      <c r="O430" s="3">
        <v>345</v>
      </c>
    </row>
    <row r="431" spans="1:16" x14ac:dyDescent="0.3">
      <c r="A431" s="1" t="s">
        <v>16</v>
      </c>
      <c r="B431" s="1" t="s">
        <v>159</v>
      </c>
      <c r="C431" s="1" t="s">
        <v>37</v>
      </c>
      <c r="D431" s="1" t="s">
        <v>164</v>
      </c>
      <c r="E431" s="1" t="s">
        <v>192</v>
      </c>
      <c r="F431" s="1">
        <v>51100</v>
      </c>
      <c r="G431" s="1" t="s">
        <v>1232</v>
      </c>
      <c r="H431" s="1" t="s">
        <v>1233</v>
      </c>
      <c r="I431" s="1" t="s">
        <v>411</v>
      </c>
      <c r="J431" s="1" t="s">
        <v>32</v>
      </c>
      <c r="K431" s="1" t="s">
        <v>33</v>
      </c>
      <c r="L431" s="2">
        <v>47088</v>
      </c>
      <c r="M431" s="4">
        <v>4618000</v>
      </c>
      <c r="N431" s="1" t="s">
        <v>23</v>
      </c>
      <c r="O431" s="3">
        <v>345</v>
      </c>
    </row>
    <row r="432" spans="1:16" x14ac:dyDescent="0.3">
      <c r="A432" s="1" t="s">
        <v>16</v>
      </c>
      <c r="B432" s="1" t="s">
        <v>159</v>
      </c>
      <c r="C432" s="1" t="s">
        <v>452</v>
      </c>
      <c r="D432" s="1" t="s">
        <v>164</v>
      </c>
      <c r="E432" s="1" t="s">
        <v>367</v>
      </c>
      <c r="F432" s="1">
        <v>51101</v>
      </c>
      <c r="G432" s="1" t="s">
        <v>1234</v>
      </c>
      <c r="H432" s="1" t="s">
        <v>1235</v>
      </c>
      <c r="I432" s="1" t="s">
        <v>1236</v>
      </c>
      <c r="J432" s="1" t="s">
        <v>32</v>
      </c>
      <c r="K432" s="1" t="s">
        <v>46</v>
      </c>
      <c r="L432" s="2">
        <v>47482</v>
      </c>
      <c r="M432" s="4">
        <v>222000</v>
      </c>
      <c r="N432" s="1" t="s">
        <v>23</v>
      </c>
      <c r="O432" s="3">
        <v>161</v>
      </c>
      <c r="P432" s="3">
        <v>161</v>
      </c>
    </row>
    <row r="433" spans="1:16" x14ac:dyDescent="0.3">
      <c r="A433" s="1" t="s">
        <v>16</v>
      </c>
      <c r="B433" s="1" t="s">
        <v>159</v>
      </c>
      <c r="C433" s="1" t="s">
        <v>452</v>
      </c>
      <c r="D433" s="1" t="s">
        <v>164</v>
      </c>
      <c r="E433" s="1" t="s">
        <v>367</v>
      </c>
      <c r="F433" s="1">
        <v>51102</v>
      </c>
      <c r="G433" s="1" t="s">
        <v>1237</v>
      </c>
      <c r="H433" s="1" t="s">
        <v>1238</v>
      </c>
      <c r="I433" s="1" t="s">
        <v>1236</v>
      </c>
      <c r="J433" s="1" t="s">
        <v>32</v>
      </c>
      <c r="K433" s="1" t="s">
        <v>46</v>
      </c>
      <c r="L433" s="2">
        <v>47482</v>
      </c>
      <c r="M433" s="4">
        <v>3843941</v>
      </c>
      <c r="N433" s="1" t="s">
        <v>23</v>
      </c>
      <c r="O433" s="3">
        <v>161</v>
      </c>
      <c r="P433" s="3">
        <v>69</v>
      </c>
    </row>
    <row r="434" spans="1:16" x14ac:dyDescent="0.3">
      <c r="A434" s="1" t="s">
        <v>16</v>
      </c>
      <c r="B434" s="1" t="s">
        <v>159</v>
      </c>
      <c r="C434" s="1" t="s">
        <v>232</v>
      </c>
      <c r="D434" s="1" t="s">
        <v>161</v>
      </c>
      <c r="E434" s="1" t="s">
        <v>28</v>
      </c>
      <c r="F434" s="1">
        <v>51103</v>
      </c>
      <c r="G434" s="1" t="s">
        <v>1239</v>
      </c>
      <c r="H434" s="1" t="s">
        <v>1240</v>
      </c>
      <c r="I434" s="1" t="s">
        <v>1241</v>
      </c>
      <c r="J434" s="1" t="s">
        <v>22</v>
      </c>
      <c r="L434" s="2">
        <v>47270</v>
      </c>
      <c r="M434" s="4">
        <v>250300000</v>
      </c>
      <c r="N434" s="1" t="s">
        <v>50</v>
      </c>
      <c r="O434" s="3">
        <v>345</v>
      </c>
    </row>
    <row r="435" spans="1:16" x14ac:dyDescent="0.3">
      <c r="A435" s="1" t="s">
        <v>16</v>
      </c>
      <c r="B435" s="1" t="s">
        <v>159</v>
      </c>
      <c r="C435" s="1" t="s">
        <v>380</v>
      </c>
      <c r="D435" s="1" t="s">
        <v>161</v>
      </c>
      <c r="E435" s="1" t="s">
        <v>73</v>
      </c>
      <c r="F435" s="1">
        <v>51105</v>
      </c>
      <c r="G435" s="1" t="s">
        <v>1242</v>
      </c>
      <c r="H435" s="1" t="s">
        <v>1243</v>
      </c>
      <c r="I435" s="1" t="s">
        <v>33</v>
      </c>
      <c r="J435" s="1" t="s">
        <v>32</v>
      </c>
      <c r="K435" s="1" t="s">
        <v>33</v>
      </c>
      <c r="L435" s="2">
        <v>46752</v>
      </c>
      <c r="M435" s="4">
        <v>1600000</v>
      </c>
      <c r="N435" s="1" t="s">
        <v>23</v>
      </c>
      <c r="O435" s="3">
        <v>69</v>
      </c>
    </row>
    <row r="436" spans="1:16" x14ac:dyDescent="0.3">
      <c r="A436" s="1" t="s">
        <v>16</v>
      </c>
      <c r="B436" s="1" t="s">
        <v>159</v>
      </c>
      <c r="C436" s="1" t="s">
        <v>380</v>
      </c>
      <c r="D436" s="1" t="s">
        <v>161</v>
      </c>
      <c r="E436" s="1" t="s">
        <v>73</v>
      </c>
      <c r="F436" s="1">
        <v>51106</v>
      </c>
      <c r="G436" s="1" t="s">
        <v>1244</v>
      </c>
      <c r="H436" s="1" t="s">
        <v>1245</v>
      </c>
      <c r="I436" s="1" t="s">
        <v>33</v>
      </c>
      <c r="J436" s="1" t="s">
        <v>32</v>
      </c>
      <c r="K436" s="1" t="s">
        <v>33</v>
      </c>
      <c r="L436" s="2">
        <v>46752</v>
      </c>
      <c r="M436" s="4">
        <v>675000</v>
      </c>
      <c r="N436" s="1" t="s">
        <v>23</v>
      </c>
      <c r="O436" s="3">
        <v>69</v>
      </c>
    </row>
    <row r="437" spans="1:16" x14ac:dyDescent="0.3">
      <c r="A437" s="1" t="s">
        <v>16</v>
      </c>
      <c r="B437" s="1" t="s">
        <v>159</v>
      </c>
      <c r="C437" s="1" t="s">
        <v>380</v>
      </c>
      <c r="D437" s="1" t="s">
        <v>161</v>
      </c>
      <c r="E437" s="1" t="s">
        <v>73</v>
      </c>
      <c r="F437" s="1">
        <v>51108</v>
      </c>
      <c r="G437" s="1" t="s">
        <v>1246</v>
      </c>
      <c r="H437" s="1" t="s">
        <v>1247</v>
      </c>
      <c r="I437" s="1" t="s">
        <v>1248</v>
      </c>
      <c r="J437" s="1" t="s">
        <v>32</v>
      </c>
      <c r="K437" s="1" t="s">
        <v>33</v>
      </c>
      <c r="L437" s="2">
        <v>46387</v>
      </c>
      <c r="M437" s="4">
        <v>381780</v>
      </c>
      <c r="N437" s="1" t="s">
        <v>23</v>
      </c>
      <c r="O437" s="3">
        <v>69</v>
      </c>
    </row>
    <row r="438" spans="1:16" x14ac:dyDescent="0.3">
      <c r="A438" s="1" t="s">
        <v>16</v>
      </c>
      <c r="B438" s="1" t="s">
        <v>159</v>
      </c>
      <c r="C438" s="1" t="s">
        <v>64</v>
      </c>
      <c r="D438" s="1" t="s">
        <v>161</v>
      </c>
      <c r="E438" s="1" t="s">
        <v>65</v>
      </c>
      <c r="F438" s="1">
        <v>51110</v>
      </c>
      <c r="G438" s="1" t="s">
        <v>1249</v>
      </c>
      <c r="H438" s="1" t="s">
        <v>1250</v>
      </c>
      <c r="I438" s="1" t="s">
        <v>449</v>
      </c>
      <c r="J438" s="1" t="s">
        <v>101</v>
      </c>
      <c r="L438" s="2">
        <v>46569</v>
      </c>
      <c r="M438" s="4">
        <v>75000</v>
      </c>
      <c r="N438" s="1" t="s">
        <v>23</v>
      </c>
      <c r="O438" s="3">
        <v>138</v>
      </c>
    </row>
    <row r="439" spans="1:16" x14ac:dyDescent="0.3">
      <c r="A439" s="1" t="s">
        <v>16</v>
      </c>
      <c r="B439" s="1" t="s">
        <v>159</v>
      </c>
      <c r="C439" s="1" t="s">
        <v>349</v>
      </c>
      <c r="D439" s="1" t="s">
        <v>163</v>
      </c>
      <c r="E439" s="1" t="s">
        <v>350</v>
      </c>
      <c r="F439" s="1">
        <v>51111</v>
      </c>
      <c r="G439" s="1" t="s">
        <v>1251</v>
      </c>
      <c r="H439" s="1" t="s">
        <v>1252</v>
      </c>
      <c r="I439" s="1" t="s">
        <v>1253</v>
      </c>
      <c r="J439" s="1" t="s">
        <v>101</v>
      </c>
      <c r="L439" s="2">
        <v>46341</v>
      </c>
      <c r="M439" s="4">
        <v>5450000</v>
      </c>
      <c r="N439" s="1" t="s">
        <v>23</v>
      </c>
      <c r="O439" s="3">
        <v>115</v>
      </c>
    </row>
    <row r="440" spans="1:16" x14ac:dyDescent="0.3">
      <c r="A440" s="1" t="s">
        <v>16</v>
      </c>
      <c r="B440" s="1" t="s">
        <v>159</v>
      </c>
      <c r="C440" s="1" t="s">
        <v>37</v>
      </c>
      <c r="D440" s="1" t="s">
        <v>164</v>
      </c>
      <c r="E440" s="1" t="s">
        <v>42</v>
      </c>
      <c r="F440" s="1">
        <v>51112</v>
      </c>
      <c r="G440" s="1" t="s">
        <v>1254</v>
      </c>
      <c r="H440" s="1" t="s">
        <v>1255</v>
      </c>
      <c r="I440" s="1" t="s">
        <v>328</v>
      </c>
      <c r="J440" s="1" t="s">
        <v>32</v>
      </c>
      <c r="K440" s="1" t="s">
        <v>46</v>
      </c>
      <c r="L440" s="2">
        <v>46905</v>
      </c>
      <c r="M440" s="4">
        <v>12500000</v>
      </c>
      <c r="N440" s="1" t="s">
        <v>23</v>
      </c>
      <c r="O440" s="3">
        <v>138</v>
      </c>
    </row>
    <row r="441" spans="1:16" x14ac:dyDescent="0.3">
      <c r="A441" s="1" t="s">
        <v>16</v>
      </c>
      <c r="B441" s="1" t="s">
        <v>159</v>
      </c>
      <c r="C441" s="1" t="s">
        <v>72</v>
      </c>
      <c r="D441" s="1" t="s">
        <v>161</v>
      </c>
      <c r="E441" s="1" t="s">
        <v>73</v>
      </c>
      <c r="F441" s="1">
        <v>51113</v>
      </c>
      <c r="G441" s="1" t="s">
        <v>1256</v>
      </c>
      <c r="H441" s="1" t="s">
        <v>1257</v>
      </c>
      <c r="I441" s="1" t="s">
        <v>1258</v>
      </c>
      <c r="J441" s="1" t="s">
        <v>22</v>
      </c>
      <c r="K441" s="1" t="s">
        <v>205</v>
      </c>
      <c r="L441" s="2">
        <v>47453</v>
      </c>
      <c r="M441" s="4">
        <v>5000000</v>
      </c>
      <c r="N441" s="1" t="s">
        <v>50</v>
      </c>
      <c r="O441" s="3">
        <v>345</v>
      </c>
    </row>
    <row r="442" spans="1:16" x14ac:dyDescent="0.3">
      <c r="A442" s="1" t="s">
        <v>16</v>
      </c>
      <c r="B442" s="1" t="s">
        <v>159</v>
      </c>
      <c r="C442" s="1" t="s">
        <v>72</v>
      </c>
      <c r="D442" s="1" t="s">
        <v>161</v>
      </c>
      <c r="E442" s="1" t="s">
        <v>73</v>
      </c>
      <c r="F442" s="1">
        <v>51114</v>
      </c>
      <c r="G442" s="1" t="s">
        <v>1259</v>
      </c>
      <c r="H442" s="1" t="s">
        <v>1260</v>
      </c>
      <c r="I442" s="1" t="s">
        <v>1258</v>
      </c>
      <c r="J442" s="1" t="s">
        <v>22</v>
      </c>
      <c r="K442" s="1" t="s">
        <v>205</v>
      </c>
      <c r="L442" s="2">
        <v>47453</v>
      </c>
      <c r="M442" s="4">
        <v>800000</v>
      </c>
      <c r="N442" s="1" t="s">
        <v>50</v>
      </c>
      <c r="O442" s="3">
        <v>161</v>
      </c>
    </row>
    <row r="443" spans="1:16" x14ac:dyDescent="0.3">
      <c r="A443" s="1" t="s">
        <v>16</v>
      </c>
      <c r="B443" s="1" t="s">
        <v>159</v>
      </c>
      <c r="C443" s="1" t="s">
        <v>37</v>
      </c>
      <c r="D443" s="1" t="s">
        <v>164</v>
      </c>
      <c r="E443" s="1" t="s">
        <v>42</v>
      </c>
      <c r="F443" s="1">
        <v>51115</v>
      </c>
      <c r="G443" s="1" t="s">
        <v>1261</v>
      </c>
      <c r="H443" s="1" t="s">
        <v>1262</v>
      </c>
      <c r="I443" s="1" t="s">
        <v>1263</v>
      </c>
      <c r="J443" s="1" t="s">
        <v>32</v>
      </c>
      <c r="K443" s="1" t="s">
        <v>46</v>
      </c>
      <c r="L443" s="2">
        <v>47300</v>
      </c>
      <c r="M443" s="4">
        <v>10500000</v>
      </c>
      <c r="N443" s="1" t="s">
        <v>23</v>
      </c>
      <c r="O443" s="3">
        <v>138</v>
      </c>
    </row>
    <row r="444" spans="1:16" x14ac:dyDescent="0.3">
      <c r="A444" s="1" t="s">
        <v>16</v>
      </c>
      <c r="B444" s="1" t="s">
        <v>159</v>
      </c>
      <c r="C444" s="1" t="s">
        <v>750</v>
      </c>
      <c r="D444" s="1" t="s">
        <v>163</v>
      </c>
      <c r="E444" s="1" t="s">
        <v>358</v>
      </c>
      <c r="F444" s="1">
        <v>51116</v>
      </c>
      <c r="G444" s="1" t="s">
        <v>1264</v>
      </c>
      <c r="H444" s="1" t="s">
        <v>1265</v>
      </c>
      <c r="I444" s="1" t="s">
        <v>1266</v>
      </c>
      <c r="J444" s="1" t="s">
        <v>101</v>
      </c>
      <c r="L444" s="2">
        <v>47058</v>
      </c>
      <c r="M444" s="4">
        <v>25650000</v>
      </c>
      <c r="N444" s="1" t="s">
        <v>23</v>
      </c>
      <c r="O444" s="3">
        <v>500</v>
      </c>
    </row>
    <row r="445" spans="1:16" x14ac:dyDescent="0.3">
      <c r="A445" s="1" t="s">
        <v>16</v>
      </c>
      <c r="B445" s="1" t="s">
        <v>159</v>
      </c>
      <c r="C445" s="1" t="s">
        <v>64</v>
      </c>
      <c r="D445" s="1" t="s">
        <v>161</v>
      </c>
      <c r="E445" s="1" t="s">
        <v>65</v>
      </c>
      <c r="F445" s="1">
        <v>51117</v>
      </c>
      <c r="G445" s="1" t="s">
        <v>1267</v>
      </c>
      <c r="H445" s="1" t="s">
        <v>1268</v>
      </c>
      <c r="I445" s="1" t="s">
        <v>449</v>
      </c>
      <c r="J445" s="1" t="s">
        <v>101</v>
      </c>
      <c r="L445" s="2">
        <v>46539</v>
      </c>
      <c r="M445" s="4">
        <v>20735000</v>
      </c>
      <c r="N445" s="1" t="s">
        <v>23</v>
      </c>
      <c r="O445" s="3">
        <v>345</v>
      </c>
    </row>
    <row r="446" spans="1:16" x14ac:dyDescent="0.3">
      <c r="A446" s="1" t="s">
        <v>16</v>
      </c>
      <c r="B446" s="1" t="s">
        <v>159</v>
      </c>
      <c r="C446" s="1" t="s">
        <v>349</v>
      </c>
      <c r="D446" s="1" t="s">
        <v>163</v>
      </c>
      <c r="E446" s="1" t="s">
        <v>350</v>
      </c>
      <c r="F446" s="1">
        <v>51118</v>
      </c>
      <c r="G446" s="1" t="s">
        <v>1269</v>
      </c>
      <c r="H446" s="1" t="s">
        <v>1270</v>
      </c>
      <c r="I446" s="1" t="s">
        <v>1271</v>
      </c>
      <c r="J446" s="1" t="s">
        <v>101</v>
      </c>
      <c r="L446" s="2">
        <v>46894</v>
      </c>
      <c r="M446" s="4">
        <v>11840000</v>
      </c>
      <c r="N446" s="1" t="s">
        <v>23</v>
      </c>
      <c r="O446" s="3">
        <v>230</v>
      </c>
    </row>
    <row r="447" spans="1:16" x14ac:dyDescent="0.3">
      <c r="A447" s="1" t="s">
        <v>16</v>
      </c>
      <c r="B447" s="1" t="s">
        <v>159</v>
      </c>
      <c r="C447" s="1" t="s">
        <v>1212</v>
      </c>
      <c r="D447" s="1" t="s">
        <v>161</v>
      </c>
      <c r="E447" s="1" t="s">
        <v>28</v>
      </c>
      <c r="F447" s="1">
        <v>51119</v>
      </c>
      <c r="G447" s="1" t="s">
        <v>1272</v>
      </c>
      <c r="H447" s="1" t="s">
        <v>1273</v>
      </c>
      <c r="I447" s="1" t="s">
        <v>1273</v>
      </c>
      <c r="J447" s="1" t="s">
        <v>101</v>
      </c>
      <c r="L447" s="2">
        <v>47087</v>
      </c>
      <c r="M447" s="4">
        <v>808480</v>
      </c>
      <c r="N447" s="1" t="s">
        <v>23</v>
      </c>
      <c r="O447" s="3">
        <v>138</v>
      </c>
    </row>
    <row r="448" spans="1:16" x14ac:dyDescent="0.3">
      <c r="A448" s="1" t="s">
        <v>16</v>
      </c>
      <c r="B448" s="1" t="s">
        <v>159</v>
      </c>
      <c r="C448" s="1" t="s">
        <v>357</v>
      </c>
      <c r="D448" s="1" t="s">
        <v>163</v>
      </c>
      <c r="E448" s="1" t="s">
        <v>358</v>
      </c>
      <c r="F448" s="1">
        <v>51120</v>
      </c>
      <c r="G448" s="1" t="s">
        <v>1274</v>
      </c>
      <c r="H448" s="1" t="s">
        <v>1275</v>
      </c>
      <c r="I448" s="1" t="s">
        <v>1276</v>
      </c>
      <c r="J448" s="1" t="s">
        <v>32</v>
      </c>
      <c r="K448" s="1" t="s">
        <v>46</v>
      </c>
      <c r="L448" s="2">
        <v>47818</v>
      </c>
      <c r="M448" s="4">
        <v>30000000</v>
      </c>
      <c r="N448" s="1" t="s">
        <v>23</v>
      </c>
      <c r="O448" s="3">
        <v>500</v>
      </c>
      <c r="P448" s="3">
        <v>161</v>
      </c>
    </row>
    <row r="449" spans="1:15" x14ac:dyDescent="0.3">
      <c r="A449" s="1" t="s">
        <v>16</v>
      </c>
      <c r="B449" s="1" t="s">
        <v>159</v>
      </c>
      <c r="C449" s="1" t="s">
        <v>366</v>
      </c>
      <c r="D449" s="1" t="s">
        <v>164</v>
      </c>
      <c r="E449" s="1" t="s">
        <v>367</v>
      </c>
      <c r="F449" s="1">
        <v>51122</v>
      </c>
      <c r="G449" s="1" t="s">
        <v>1277</v>
      </c>
      <c r="H449" s="1" t="s">
        <v>1278</v>
      </c>
      <c r="I449" s="1" t="s">
        <v>601</v>
      </c>
      <c r="J449" s="1" t="s">
        <v>22</v>
      </c>
      <c r="L449" s="2">
        <v>47635</v>
      </c>
      <c r="M449" s="4">
        <v>2250000</v>
      </c>
      <c r="N449" s="1" t="s">
        <v>23</v>
      </c>
      <c r="O449" s="3">
        <v>345</v>
      </c>
    </row>
    <row r="450" spans="1:15" x14ac:dyDescent="0.3">
      <c r="A450" s="1" t="s">
        <v>16</v>
      </c>
      <c r="B450" s="1" t="s">
        <v>159</v>
      </c>
      <c r="C450" s="1" t="s">
        <v>64</v>
      </c>
      <c r="D450" s="1" t="s">
        <v>161</v>
      </c>
      <c r="E450" s="1" t="s">
        <v>65</v>
      </c>
      <c r="F450" s="1">
        <v>51123</v>
      </c>
      <c r="G450" s="1" t="s">
        <v>1279</v>
      </c>
      <c r="H450" s="1" t="s">
        <v>1280</v>
      </c>
      <c r="I450" s="1" t="s">
        <v>1281</v>
      </c>
      <c r="J450" s="1" t="s">
        <v>22</v>
      </c>
      <c r="L450" s="2">
        <v>47088</v>
      </c>
      <c r="M450" s="4">
        <v>12000000</v>
      </c>
      <c r="N450" s="1" t="s">
        <v>50</v>
      </c>
      <c r="O450" s="3">
        <v>345</v>
      </c>
    </row>
    <row r="451" spans="1:15" x14ac:dyDescent="0.3">
      <c r="A451" s="1" t="s">
        <v>16</v>
      </c>
      <c r="B451" s="1" t="s">
        <v>159</v>
      </c>
      <c r="C451" s="1" t="s">
        <v>1212</v>
      </c>
      <c r="D451" s="1" t="s">
        <v>161</v>
      </c>
      <c r="E451" s="1" t="s">
        <v>28</v>
      </c>
      <c r="F451" s="1">
        <v>51124</v>
      </c>
      <c r="G451" s="1" t="s">
        <v>1282</v>
      </c>
      <c r="H451" s="1" t="s">
        <v>1283</v>
      </c>
      <c r="I451" s="1" t="s">
        <v>1284</v>
      </c>
      <c r="J451" s="1" t="s">
        <v>22</v>
      </c>
      <c r="L451" s="2">
        <v>46752</v>
      </c>
      <c r="M451" s="4">
        <v>25000</v>
      </c>
      <c r="N451" s="1" t="s">
        <v>50</v>
      </c>
      <c r="O451" s="3">
        <v>138</v>
      </c>
    </row>
    <row r="452" spans="1:15" x14ac:dyDescent="0.3">
      <c r="A452" s="1" t="s">
        <v>16</v>
      </c>
      <c r="B452" s="1" t="s">
        <v>159</v>
      </c>
      <c r="C452" s="1" t="s">
        <v>349</v>
      </c>
      <c r="D452" s="1" t="s">
        <v>163</v>
      </c>
      <c r="E452" s="1" t="s">
        <v>350</v>
      </c>
      <c r="F452" s="1">
        <v>51125</v>
      </c>
      <c r="G452" s="1" t="s">
        <v>1285</v>
      </c>
      <c r="H452" s="1" t="s">
        <v>1286</v>
      </c>
      <c r="I452" s="1" t="s">
        <v>1287</v>
      </c>
      <c r="J452" s="1" t="s">
        <v>101</v>
      </c>
      <c r="L452" s="2">
        <v>46969</v>
      </c>
      <c r="M452" s="4">
        <v>13980000</v>
      </c>
      <c r="N452" s="1" t="s">
        <v>23</v>
      </c>
      <c r="O452" s="3">
        <v>230</v>
      </c>
    </row>
    <row r="453" spans="1:15" x14ac:dyDescent="0.3">
      <c r="A453" s="1" t="s">
        <v>16</v>
      </c>
      <c r="B453" s="1" t="s">
        <v>159</v>
      </c>
      <c r="C453" s="1" t="s">
        <v>750</v>
      </c>
      <c r="D453" s="1" t="s">
        <v>163</v>
      </c>
      <c r="E453" s="1" t="s">
        <v>358</v>
      </c>
      <c r="F453" s="1">
        <v>51126</v>
      </c>
      <c r="G453" s="1" t="s">
        <v>1288</v>
      </c>
      <c r="H453" s="1" t="s">
        <v>1289</v>
      </c>
      <c r="I453" s="1" t="s">
        <v>1290</v>
      </c>
      <c r="J453" s="1" t="s">
        <v>101</v>
      </c>
      <c r="L453" s="2">
        <v>46447</v>
      </c>
      <c r="M453" s="4">
        <v>4890000</v>
      </c>
      <c r="N453" s="1" t="s">
        <v>23</v>
      </c>
      <c r="O453" s="3">
        <v>115</v>
      </c>
    </row>
    <row r="454" spans="1:15" x14ac:dyDescent="0.3">
      <c r="A454" s="1" t="s">
        <v>16</v>
      </c>
      <c r="B454" s="1" t="s">
        <v>159</v>
      </c>
      <c r="C454" s="1" t="s">
        <v>750</v>
      </c>
      <c r="D454" s="1" t="s">
        <v>163</v>
      </c>
      <c r="E454" s="1" t="s">
        <v>358</v>
      </c>
      <c r="F454" s="1">
        <v>51127</v>
      </c>
      <c r="G454" s="1" t="s">
        <v>1291</v>
      </c>
      <c r="H454" s="1" t="s">
        <v>1292</v>
      </c>
      <c r="I454" s="1" t="s">
        <v>1293</v>
      </c>
      <c r="J454" s="1" t="s">
        <v>101</v>
      </c>
      <c r="L454" s="2">
        <v>46450</v>
      </c>
      <c r="M454" s="4">
        <v>5448372</v>
      </c>
      <c r="N454" s="1" t="s">
        <v>23</v>
      </c>
      <c r="O454" s="3">
        <v>115</v>
      </c>
    </row>
    <row r="455" spans="1:15" x14ac:dyDescent="0.3">
      <c r="A455" s="1" t="s">
        <v>16</v>
      </c>
      <c r="B455" s="1" t="s">
        <v>159</v>
      </c>
      <c r="C455" s="1" t="s">
        <v>72</v>
      </c>
      <c r="D455" s="1" t="s">
        <v>161</v>
      </c>
      <c r="E455" s="1" t="s">
        <v>73</v>
      </c>
      <c r="F455" s="1">
        <v>51128</v>
      </c>
      <c r="G455" s="1" t="s">
        <v>1294</v>
      </c>
      <c r="H455" s="1" t="s">
        <v>1295</v>
      </c>
      <c r="I455" s="1" t="s">
        <v>1296</v>
      </c>
      <c r="J455" s="1" t="s">
        <v>22</v>
      </c>
      <c r="L455" s="2">
        <v>47453</v>
      </c>
      <c r="M455" s="4">
        <v>8000000</v>
      </c>
      <c r="N455" s="1" t="s">
        <v>50</v>
      </c>
      <c r="O455" s="3">
        <v>138</v>
      </c>
    </row>
    <row r="456" spans="1:15" x14ac:dyDescent="0.3">
      <c r="A456" s="1" t="s">
        <v>16</v>
      </c>
      <c r="B456" s="1" t="s">
        <v>159</v>
      </c>
      <c r="C456" s="1" t="s">
        <v>17</v>
      </c>
      <c r="D456" s="1" t="s">
        <v>162</v>
      </c>
      <c r="E456" s="1" t="s">
        <v>18</v>
      </c>
      <c r="F456" s="1">
        <v>51134</v>
      </c>
      <c r="G456" s="1" t="s">
        <v>1297</v>
      </c>
      <c r="H456" s="1" t="s">
        <v>1298</v>
      </c>
      <c r="I456" s="1" t="s">
        <v>1299</v>
      </c>
      <c r="J456" s="1" t="s">
        <v>32</v>
      </c>
      <c r="K456" s="1" t="s">
        <v>205</v>
      </c>
      <c r="L456" s="2">
        <v>46721</v>
      </c>
      <c r="M456" s="4">
        <v>92435000</v>
      </c>
      <c r="N456" s="1" t="s">
        <v>50</v>
      </c>
      <c r="O456" s="3">
        <v>345</v>
      </c>
    </row>
    <row r="457" spans="1:15" x14ac:dyDescent="0.3">
      <c r="A457" s="1" t="s">
        <v>16</v>
      </c>
      <c r="B457" s="1" t="s">
        <v>160</v>
      </c>
      <c r="C457" s="1" t="s">
        <v>64</v>
      </c>
      <c r="D457" s="1" t="s">
        <v>161</v>
      </c>
      <c r="E457" s="1" t="s">
        <v>65</v>
      </c>
      <c r="F457" s="1">
        <v>51138</v>
      </c>
      <c r="G457" s="1" t="s">
        <v>1300</v>
      </c>
      <c r="H457" s="1" t="s">
        <v>1301</v>
      </c>
      <c r="I457" s="1" t="s">
        <v>1302</v>
      </c>
      <c r="J457" s="1" t="s">
        <v>22</v>
      </c>
      <c r="L457" s="2">
        <v>46357</v>
      </c>
      <c r="M457" s="4">
        <v>2080000</v>
      </c>
      <c r="N457" s="1" t="s">
        <v>23</v>
      </c>
      <c r="O457" s="3">
        <v>138</v>
      </c>
    </row>
    <row r="458" spans="1:15" x14ac:dyDescent="0.3">
      <c r="A458" s="1" t="s">
        <v>16</v>
      </c>
      <c r="B458" s="1" t="s">
        <v>160</v>
      </c>
      <c r="C458" s="1" t="s">
        <v>72</v>
      </c>
      <c r="D458" s="1" t="s">
        <v>161</v>
      </c>
      <c r="E458" s="1" t="s">
        <v>73</v>
      </c>
      <c r="F458" s="1">
        <v>51139</v>
      </c>
      <c r="G458" s="1" t="s">
        <v>1303</v>
      </c>
      <c r="H458" s="1" t="s">
        <v>1304</v>
      </c>
      <c r="I458" s="1" t="s">
        <v>1305</v>
      </c>
      <c r="J458" s="1" t="s">
        <v>22</v>
      </c>
      <c r="L458" s="2">
        <v>47088</v>
      </c>
      <c r="M458" s="4">
        <v>7600000</v>
      </c>
      <c r="N458" s="1" t="s">
        <v>23</v>
      </c>
      <c r="O458" s="3">
        <v>138</v>
      </c>
    </row>
    <row r="459" spans="1:15" x14ac:dyDescent="0.3">
      <c r="A459" s="1" t="s">
        <v>16</v>
      </c>
      <c r="B459" s="1" t="s">
        <v>159</v>
      </c>
      <c r="C459" s="1" t="s">
        <v>1212</v>
      </c>
      <c r="D459" s="1" t="s">
        <v>161</v>
      </c>
      <c r="E459" s="1" t="s">
        <v>28</v>
      </c>
      <c r="F459" s="1">
        <v>51141</v>
      </c>
      <c r="G459" s="1" t="s">
        <v>1306</v>
      </c>
      <c r="H459" s="1" t="s">
        <v>1307</v>
      </c>
      <c r="I459" s="1" t="s">
        <v>1307</v>
      </c>
      <c r="J459" s="1" t="s">
        <v>32</v>
      </c>
      <c r="K459" s="1" t="s">
        <v>205</v>
      </c>
      <c r="L459" s="2">
        <v>46447</v>
      </c>
      <c r="M459" s="4">
        <v>60000000</v>
      </c>
      <c r="N459" s="1" t="s">
        <v>50</v>
      </c>
      <c r="O459" s="3">
        <v>345</v>
      </c>
    </row>
    <row r="460" spans="1:15" x14ac:dyDescent="0.3">
      <c r="A460" s="1" t="s">
        <v>16</v>
      </c>
      <c r="B460" s="1" t="s">
        <v>159</v>
      </c>
      <c r="C460" s="1" t="s">
        <v>1212</v>
      </c>
      <c r="D460" s="1" t="s">
        <v>161</v>
      </c>
      <c r="E460" s="1" t="s">
        <v>28</v>
      </c>
      <c r="F460" s="1">
        <v>51142</v>
      </c>
      <c r="G460" s="1" t="s">
        <v>1308</v>
      </c>
      <c r="H460" s="1" t="s">
        <v>1309</v>
      </c>
      <c r="I460" s="1" t="s">
        <v>1309</v>
      </c>
      <c r="J460" s="1" t="s">
        <v>32</v>
      </c>
      <c r="K460" s="1" t="s">
        <v>205</v>
      </c>
      <c r="L460" s="2">
        <v>46447</v>
      </c>
      <c r="M460" s="4">
        <v>31000000</v>
      </c>
      <c r="N460" s="1" t="s">
        <v>50</v>
      </c>
      <c r="O460" s="3">
        <v>345</v>
      </c>
    </row>
    <row r="461" spans="1:15" x14ac:dyDescent="0.3">
      <c r="A461" s="1" t="s">
        <v>16</v>
      </c>
      <c r="B461" s="1" t="s">
        <v>160</v>
      </c>
      <c r="C461" s="1" t="s">
        <v>72</v>
      </c>
      <c r="D461" s="1" t="s">
        <v>161</v>
      </c>
      <c r="E461" s="1" t="s">
        <v>73</v>
      </c>
      <c r="F461" s="1">
        <v>51143</v>
      </c>
      <c r="G461" s="1" t="s">
        <v>1310</v>
      </c>
      <c r="H461" s="1" t="s">
        <v>1311</v>
      </c>
      <c r="I461" s="1" t="s">
        <v>1312</v>
      </c>
      <c r="J461" s="1" t="s">
        <v>22</v>
      </c>
      <c r="L461" s="2">
        <v>47818</v>
      </c>
      <c r="M461" s="4">
        <v>53196000</v>
      </c>
      <c r="N461" s="1" t="s">
        <v>23</v>
      </c>
      <c r="O461" s="3">
        <v>138</v>
      </c>
    </row>
    <row r="462" spans="1:15" x14ac:dyDescent="0.3">
      <c r="A462" s="1" t="s">
        <v>16</v>
      </c>
      <c r="B462" s="1" t="s">
        <v>159</v>
      </c>
      <c r="C462" s="1" t="s">
        <v>37</v>
      </c>
      <c r="D462" s="1" t="s">
        <v>164</v>
      </c>
      <c r="E462" s="1" t="s">
        <v>42</v>
      </c>
      <c r="F462" s="1">
        <v>51144</v>
      </c>
      <c r="G462" s="1" t="s">
        <v>1313</v>
      </c>
      <c r="H462" s="1" t="s">
        <v>1314</v>
      </c>
      <c r="I462" s="1" t="s">
        <v>373</v>
      </c>
      <c r="J462" s="1" t="s">
        <v>101</v>
      </c>
      <c r="L462" s="2">
        <v>47483</v>
      </c>
      <c r="M462" s="4">
        <v>70452000</v>
      </c>
      <c r="N462" s="1" t="s">
        <v>23</v>
      </c>
      <c r="O462" s="3">
        <v>345</v>
      </c>
    </row>
    <row r="463" spans="1:15" x14ac:dyDescent="0.3">
      <c r="A463" s="1" t="s">
        <v>16</v>
      </c>
      <c r="B463" s="1" t="s">
        <v>159</v>
      </c>
      <c r="C463" s="1" t="s">
        <v>589</v>
      </c>
      <c r="D463" s="1" t="s">
        <v>161</v>
      </c>
      <c r="E463" s="1" t="s">
        <v>28</v>
      </c>
      <c r="F463" s="1">
        <v>51145</v>
      </c>
      <c r="G463" s="1" t="s">
        <v>1315</v>
      </c>
      <c r="H463" s="1" t="s">
        <v>1316</v>
      </c>
      <c r="I463" s="1" t="s">
        <v>1317</v>
      </c>
      <c r="J463" s="1" t="s">
        <v>32</v>
      </c>
      <c r="K463" s="1" t="s">
        <v>205</v>
      </c>
      <c r="L463" s="2">
        <v>46661</v>
      </c>
      <c r="M463" s="4">
        <v>86000000</v>
      </c>
      <c r="N463" s="1" t="s">
        <v>50</v>
      </c>
      <c r="O463" s="3">
        <v>345</v>
      </c>
    </row>
    <row r="464" spans="1:15" x14ac:dyDescent="0.3">
      <c r="A464" s="1" t="s">
        <v>16</v>
      </c>
      <c r="B464" s="1" t="s">
        <v>159</v>
      </c>
      <c r="C464" s="1" t="s">
        <v>837</v>
      </c>
      <c r="D464" s="1" t="s">
        <v>163</v>
      </c>
      <c r="E464" s="1" t="s">
        <v>130</v>
      </c>
      <c r="F464" s="1">
        <v>51146</v>
      </c>
      <c r="G464" s="1" t="s">
        <v>1318</v>
      </c>
      <c r="H464" s="1" t="s">
        <v>1319</v>
      </c>
      <c r="I464" s="1" t="s">
        <v>1320</v>
      </c>
      <c r="J464" s="1" t="s">
        <v>32</v>
      </c>
      <c r="K464" s="1" t="s">
        <v>205</v>
      </c>
      <c r="L464" s="2">
        <v>46569</v>
      </c>
      <c r="M464" s="4">
        <v>8200000</v>
      </c>
      <c r="N464" s="1" t="s">
        <v>50</v>
      </c>
      <c r="O464" s="3">
        <v>115</v>
      </c>
    </row>
    <row r="465" spans="1:16" x14ac:dyDescent="0.3">
      <c r="A465" s="1" t="s">
        <v>16</v>
      </c>
      <c r="B465" s="1" t="s">
        <v>159</v>
      </c>
      <c r="C465" s="1" t="s">
        <v>837</v>
      </c>
      <c r="D465" s="1" t="s">
        <v>163</v>
      </c>
      <c r="E465" s="1" t="s">
        <v>130</v>
      </c>
      <c r="F465" s="1">
        <v>51147</v>
      </c>
      <c r="G465" s="1" t="s">
        <v>1321</v>
      </c>
      <c r="H465" s="1" t="s">
        <v>1322</v>
      </c>
      <c r="I465" s="1" t="s">
        <v>1323</v>
      </c>
      <c r="J465" s="1" t="s">
        <v>101</v>
      </c>
      <c r="L465" s="2">
        <v>46736</v>
      </c>
      <c r="M465" s="4">
        <v>8490000</v>
      </c>
      <c r="N465" s="1" t="s">
        <v>23</v>
      </c>
      <c r="O465" s="3">
        <v>115</v>
      </c>
    </row>
    <row r="466" spans="1:16" x14ac:dyDescent="0.3">
      <c r="A466" s="1" t="s">
        <v>16</v>
      </c>
      <c r="B466" s="1" t="s">
        <v>159</v>
      </c>
      <c r="C466" s="1" t="s">
        <v>1212</v>
      </c>
      <c r="D466" s="1" t="s">
        <v>161</v>
      </c>
      <c r="E466" s="1" t="s">
        <v>28</v>
      </c>
      <c r="F466" s="1">
        <v>51148</v>
      </c>
      <c r="G466" s="1" t="s">
        <v>1324</v>
      </c>
      <c r="H466" s="1" t="s">
        <v>1325</v>
      </c>
      <c r="I466" s="1" t="s">
        <v>1325</v>
      </c>
      <c r="J466" s="1" t="s">
        <v>32</v>
      </c>
      <c r="K466" s="1" t="s">
        <v>205</v>
      </c>
      <c r="L466" s="2">
        <v>46203</v>
      </c>
      <c r="M466" s="4">
        <v>12000000</v>
      </c>
      <c r="N466" s="1" t="s">
        <v>50</v>
      </c>
      <c r="O466" s="3">
        <v>138</v>
      </c>
    </row>
    <row r="467" spans="1:16" x14ac:dyDescent="0.3">
      <c r="A467" s="1" t="s">
        <v>16</v>
      </c>
      <c r="B467" s="1" t="s">
        <v>159</v>
      </c>
      <c r="C467" s="1" t="s">
        <v>27</v>
      </c>
      <c r="D467" s="1" t="s">
        <v>161</v>
      </c>
      <c r="E467" s="1" t="s">
        <v>28</v>
      </c>
      <c r="F467" s="1">
        <v>51149</v>
      </c>
      <c r="G467" s="1" t="s">
        <v>1326</v>
      </c>
      <c r="H467" s="1" t="s">
        <v>1327</v>
      </c>
      <c r="I467" s="1" t="s">
        <v>1328</v>
      </c>
      <c r="J467" s="1" t="s">
        <v>22</v>
      </c>
      <c r="L467" s="2">
        <v>46631</v>
      </c>
      <c r="M467" s="4">
        <v>5100000</v>
      </c>
      <c r="N467" s="1" t="s">
        <v>50</v>
      </c>
      <c r="O467" s="3">
        <v>69</v>
      </c>
    </row>
    <row r="468" spans="1:16" x14ac:dyDescent="0.3">
      <c r="A468" s="1" t="s">
        <v>16</v>
      </c>
      <c r="B468" s="1" t="s">
        <v>159</v>
      </c>
      <c r="C468" s="1" t="s">
        <v>750</v>
      </c>
      <c r="D468" s="1" t="s">
        <v>163</v>
      </c>
      <c r="E468" s="1" t="s">
        <v>358</v>
      </c>
      <c r="F468" s="1">
        <v>51150</v>
      </c>
      <c r="G468" s="1" t="s">
        <v>1329</v>
      </c>
      <c r="H468" s="1" t="s">
        <v>1330</v>
      </c>
      <c r="J468" s="1" t="s">
        <v>101</v>
      </c>
      <c r="L468" s="2">
        <v>46832</v>
      </c>
      <c r="M468" s="4">
        <v>12200000</v>
      </c>
      <c r="N468" s="1" t="s">
        <v>23</v>
      </c>
      <c r="O468" s="3">
        <v>500</v>
      </c>
    </row>
    <row r="469" spans="1:16" x14ac:dyDescent="0.3">
      <c r="A469" s="1" t="s">
        <v>16</v>
      </c>
      <c r="B469" s="1" t="s">
        <v>159</v>
      </c>
      <c r="C469" s="1" t="s">
        <v>837</v>
      </c>
      <c r="D469" s="1" t="s">
        <v>163</v>
      </c>
      <c r="E469" s="1" t="s">
        <v>130</v>
      </c>
      <c r="F469" s="1">
        <v>51151</v>
      </c>
      <c r="G469" s="1" t="s">
        <v>1331</v>
      </c>
      <c r="H469" s="1" t="s">
        <v>1332</v>
      </c>
      <c r="I469" s="1" t="s">
        <v>1333</v>
      </c>
      <c r="J469" s="1" t="s">
        <v>101</v>
      </c>
      <c r="L469" s="2">
        <v>46970</v>
      </c>
      <c r="M469" s="4">
        <v>9060000</v>
      </c>
      <c r="N469" s="1" t="s">
        <v>23</v>
      </c>
      <c r="O469" s="3">
        <v>230</v>
      </c>
    </row>
    <row r="470" spans="1:16" x14ac:dyDescent="0.3">
      <c r="A470" s="1" t="s">
        <v>16</v>
      </c>
      <c r="B470" s="1" t="s">
        <v>159</v>
      </c>
      <c r="C470" s="1" t="s">
        <v>589</v>
      </c>
      <c r="D470" s="1" t="s">
        <v>161</v>
      </c>
      <c r="E470" s="1" t="s">
        <v>28</v>
      </c>
      <c r="F470" s="1">
        <v>51152</v>
      </c>
      <c r="G470" s="1" t="s">
        <v>1334</v>
      </c>
      <c r="H470" s="1" t="s">
        <v>1335</v>
      </c>
      <c r="I470" s="1" t="s">
        <v>1336</v>
      </c>
      <c r="J470" s="1" t="s">
        <v>22</v>
      </c>
      <c r="L470" s="2">
        <v>46753</v>
      </c>
      <c r="M470" s="4">
        <v>2000000</v>
      </c>
      <c r="N470" s="1" t="s">
        <v>50</v>
      </c>
      <c r="O470" s="3">
        <v>345</v>
      </c>
    </row>
    <row r="471" spans="1:16" x14ac:dyDescent="0.3">
      <c r="A471" s="1" t="s">
        <v>16</v>
      </c>
      <c r="B471" s="1" t="s">
        <v>159</v>
      </c>
      <c r="C471" s="1" t="s">
        <v>750</v>
      </c>
      <c r="D471" s="1" t="s">
        <v>163</v>
      </c>
      <c r="E471" s="1" t="s">
        <v>358</v>
      </c>
      <c r="F471" s="1">
        <v>51153</v>
      </c>
      <c r="G471" s="1" t="s">
        <v>1337</v>
      </c>
      <c r="H471" s="1" t="s">
        <v>1338</v>
      </c>
      <c r="J471" s="1" t="s">
        <v>101</v>
      </c>
      <c r="L471" s="2">
        <v>46844</v>
      </c>
      <c r="M471" s="4">
        <v>32250000</v>
      </c>
      <c r="N471" s="1" t="s">
        <v>23</v>
      </c>
      <c r="O471" s="3">
        <v>500</v>
      </c>
    </row>
    <row r="472" spans="1:16" x14ac:dyDescent="0.3">
      <c r="A472" s="1" t="s">
        <v>16</v>
      </c>
      <c r="B472" s="1" t="s">
        <v>159</v>
      </c>
      <c r="C472" s="1" t="s">
        <v>837</v>
      </c>
      <c r="D472" s="1" t="s">
        <v>163</v>
      </c>
      <c r="E472" s="1" t="s">
        <v>130</v>
      </c>
      <c r="F472" s="1">
        <v>51154</v>
      </c>
      <c r="G472" s="1" t="s">
        <v>1339</v>
      </c>
      <c r="H472" s="1" t="s">
        <v>1340</v>
      </c>
      <c r="I472" s="1" t="s">
        <v>1341</v>
      </c>
      <c r="J472" s="1" t="s">
        <v>101</v>
      </c>
      <c r="L472" s="2">
        <v>46752</v>
      </c>
      <c r="M472" s="4">
        <v>3990000</v>
      </c>
      <c r="N472" s="1" t="s">
        <v>23</v>
      </c>
      <c r="O472" s="3">
        <v>230</v>
      </c>
    </row>
    <row r="473" spans="1:16" x14ac:dyDescent="0.3">
      <c r="A473" s="1" t="s">
        <v>16</v>
      </c>
      <c r="B473" s="1" t="s">
        <v>159</v>
      </c>
      <c r="C473" s="1" t="s">
        <v>750</v>
      </c>
      <c r="D473" s="1" t="s">
        <v>163</v>
      </c>
      <c r="E473" s="1" t="s">
        <v>358</v>
      </c>
      <c r="F473" s="1">
        <v>51155</v>
      </c>
      <c r="G473" s="1" t="s">
        <v>1342</v>
      </c>
      <c r="H473" s="1" t="s">
        <v>1343</v>
      </c>
      <c r="J473" s="1" t="s">
        <v>101</v>
      </c>
      <c r="L473" s="2">
        <v>46598</v>
      </c>
      <c r="M473" s="4">
        <v>15040000</v>
      </c>
      <c r="N473" s="1" t="s">
        <v>23</v>
      </c>
      <c r="O473" s="3">
        <v>161</v>
      </c>
    </row>
    <row r="474" spans="1:16" x14ac:dyDescent="0.3">
      <c r="A474" s="1" t="s">
        <v>16</v>
      </c>
      <c r="B474" s="1" t="s">
        <v>159</v>
      </c>
      <c r="C474" s="1" t="s">
        <v>349</v>
      </c>
      <c r="D474" s="1" t="s">
        <v>163</v>
      </c>
      <c r="E474" s="1" t="s">
        <v>417</v>
      </c>
      <c r="F474" s="1">
        <v>51156</v>
      </c>
      <c r="G474" s="1" t="s">
        <v>1344</v>
      </c>
      <c r="H474" s="1" t="s">
        <v>1345</v>
      </c>
      <c r="I474" s="1" t="s">
        <v>1346</v>
      </c>
      <c r="J474" s="1" t="s">
        <v>101</v>
      </c>
      <c r="L474" s="2">
        <v>47058</v>
      </c>
      <c r="M474" s="4">
        <v>5050000</v>
      </c>
      <c r="N474" s="1" t="s">
        <v>23</v>
      </c>
      <c r="O474" s="3">
        <v>230</v>
      </c>
    </row>
    <row r="475" spans="1:16" x14ac:dyDescent="0.3">
      <c r="A475" s="1" t="s">
        <v>16</v>
      </c>
      <c r="B475" s="1" t="s">
        <v>159</v>
      </c>
      <c r="C475" s="1" t="s">
        <v>750</v>
      </c>
      <c r="D475" s="1" t="s">
        <v>163</v>
      </c>
      <c r="E475" s="1" t="s">
        <v>358</v>
      </c>
      <c r="F475" s="1">
        <v>51158</v>
      </c>
      <c r="G475" s="1" t="s">
        <v>1347</v>
      </c>
      <c r="H475" s="1" t="s">
        <v>1348</v>
      </c>
      <c r="J475" s="1" t="s">
        <v>101</v>
      </c>
      <c r="L475" s="2">
        <v>46537</v>
      </c>
      <c r="M475" s="4">
        <v>3740000</v>
      </c>
      <c r="N475" s="1" t="s">
        <v>23</v>
      </c>
      <c r="O475" s="3">
        <v>230</v>
      </c>
    </row>
    <row r="476" spans="1:16" x14ac:dyDescent="0.3">
      <c r="A476" s="1" t="s">
        <v>16</v>
      </c>
      <c r="B476" s="1" t="s">
        <v>159</v>
      </c>
      <c r="C476" s="1" t="s">
        <v>750</v>
      </c>
      <c r="D476" s="1" t="s">
        <v>163</v>
      </c>
      <c r="E476" s="1" t="s">
        <v>358</v>
      </c>
      <c r="F476" s="1">
        <v>51159</v>
      </c>
      <c r="G476" s="1" t="s">
        <v>1349</v>
      </c>
      <c r="H476" s="1" t="s">
        <v>1350</v>
      </c>
      <c r="J476" s="1" t="s">
        <v>101</v>
      </c>
      <c r="L476" s="2">
        <v>46682</v>
      </c>
      <c r="M476" s="4">
        <v>32790000</v>
      </c>
      <c r="N476" s="1" t="s">
        <v>23</v>
      </c>
      <c r="O476" s="3">
        <v>500</v>
      </c>
    </row>
    <row r="477" spans="1:16" x14ac:dyDescent="0.3">
      <c r="A477" s="1" t="s">
        <v>16</v>
      </c>
      <c r="B477" s="1" t="s">
        <v>159</v>
      </c>
      <c r="C477" s="1" t="s">
        <v>750</v>
      </c>
      <c r="D477" s="1" t="s">
        <v>163</v>
      </c>
      <c r="E477" s="1" t="s">
        <v>358</v>
      </c>
      <c r="F477" s="1">
        <v>51162</v>
      </c>
      <c r="G477" s="1" t="s">
        <v>1351</v>
      </c>
      <c r="H477" s="1" t="s">
        <v>1352</v>
      </c>
      <c r="J477" s="1" t="s">
        <v>101</v>
      </c>
      <c r="L477" s="2">
        <v>46752</v>
      </c>
      <c r="M477" s="4">
        <v>13820000</v>
      </c>
      <c r="N477" s="1" t="s">
        <v>23</v>
      </c>
      <c r="O477" s="3">
        <v>161</v>
      </c>
    </row>
    <row r="478" spans="1:16" x14ac:dyDescent="0.3">
      <c r="A478" s="1" t="s">
        <v>16</v>
      </c>
      <c r="B478" s="1" t="s">
        <v>159</v>
      </c>
      <c r="C478" s="1" t="s">
        <v>37</v>
      </c>
      <c r="D478" s="1" t="s">
        <v>164</v>
      </c>
      <c r="E478" s="1" t="s">
        <v>42</v>
      </c>
      <c r="F478" s="1">
        <v>51163</v>
      </c>
      <c r="G478" s="1" t="s">
        <v>1353</v>
      </c>
      <c r="H478" s="1" t="s">
        <v>1354</v>
      </c>
      <c r="I478" s="1" t="s">
        <v>356</v>
      </c>
      <c r="J478" s="1" t="s">
        <v>32</v>
      </c>
      <c r="K478" s="1" t="s">
        <v>205</v>
      </c>
      <c r="L478" s="2">
        <v>47088</v>
      </c>
      <c r="M478" s="4">
        <v>15900000</v>
      </c>
      <c r="N478" s="1" t="s">
        <v>23</v>
      </c>
      <c r="O478" s="3">
        <v>138</v>
      </c>
    </row>
    <row r="479" spans="1:16" x14ac:dyDescent="0.3">
      <c r="A479" s="1" t="s">
        <v>16</v>
      </c>
      <c r="B479" s="1" t="s">
        <v>160</v>
      </c>
      <c r="C479" s="1" t="s">
        <v>17</v>
      </c>
      <c r="D479" s="1" t="s">
        <v>162</v>
      </c>
      <c r="E479" s="1" t="s">
        <v>18</v>
      </c>
      <c r="F479" s="1">
        <v>51164</v>
      </c>
      <c r="G479" s="1" t="s">
        <v>1355</v>
      </c>
      <c r="H479" s="1" t="s">
        <v>1356</v>
      </c>
      <c r="I479" s="1" t="s">
        <v>1357</v>
      </c>
      <c r="J479" s="1" t="s">
        <v>22</v>
      </c>
      <c r="L479" s="2">
        <v>48000</v>
      </c>
      <c r="M479" s="4">
        <v>1500000</v>
      </c>
      <c r="N479" s="1" t="s">
        <v>23</v>
      </c>
      <c r="O479" s="3">
        <v>120</v>
      </c>
    </row>
    <row r="480" spans="1:16" x14ac:dyDescent="0.3">
      <c r="A480" s="1" t="s">
        <v>16</v>
      </c>
      <c r="B480" s="1" t="s">
        <v>159</v>
      </c>
      <c r="C480" s="1" t="s">
        <v>41</v>
      </c>
      <c r="D480" s="1" t="s">
        <v>164</v>
      </c>
      <c r="E480" s="1" t="s">
        <v>56</v>
      </c>
      <c r="F480" s="1">
        <v>51166</v>
      </c>
      <c r="G480" s="1" t="s">
        <v>1358</v>
      </c>
      <c r="H480" s="1" t="s">
        <v>1359</v>
      </c>
      <c r="I480" s="1" t="s">
        <v>1360</v>
      </c>
      <c r="J480" s="1" t="s">
        <v>32</v>
      </c>
      <c r="K480" s="1" t="s">
        <v>46</v>
      </c>
      <c r="L480" s="2">
        <v>46901</v>
      </c>
      <c r="M480" s="4">
        <v>13000000</v>
      </c>
      <c r="N480" s="1" t="s">
        <v>23</v>
      </c>
      <c r="O480" s="3">
        <v>69</v>
      </c>
      <c r="P480" s="3">
        <v>14</v>
      </c>
    </row>
    <row r="481" spans="1:15" x14ac:dyDescent="0.3">
      <c r="A481" s="1" t="s">
        <v>16</v>
      </c>
      <c r="B481" s="1" t="s">
        <v>159</v>
      </c>
      <c r="C481" s="1" t="s">
        <v>17</v>
      </c>
      <c r="D481" s="1" t="s">
        <v>162</v>
      </c>
      <c r="E481" s="1" t="s">
        <v>18</v>
      </c>
      <c r="F481" s="1">
        <v>51167</v>
      </c>
      <c r="G481" s="1" t="s">
        <v>1361</v>
      </c>
      <c r="H481" s="1" t="s">
        <v>1362</v>
      </c>
      <c r="I481" s="1" t="s">
        <v>1363</v>
      </c>
      <c r="J481" s="1" t="s">
        <v>22</v>
      </c>
      <c r="L481" s="2">
        <v>46387</v>
      </c>
      <c r="M481" s="4">
        <v>2800000</v>
      </c>
      <c r="N481" s="1" t="s">
        <v>50</v>
      </c>
      <c r="O481" s="3">
        <v>138</v>
      </c>
    </row>
    <row r="482" spans="1:15" x14ac:dyDescent="0.3">
      <c r="A482" s="1" t="s">
        <v>16</v>
      </c>
      <c r="B482" s="1" t="s">
        <v>159</v>
      </c>
      <c r="C482" s="1" t="s">
        <v>750</v>
      </c>
      <c r="D482" s="1" t="s">
        <v>163</v>
      </c>
      <c r="E482" s="1" t="s">
        <v>358</v>
      </c>
      <c r="F482" s="1">
        <v>51168</v>
      </c>
      <c r="G482" s="1" t="s">
        <v>1364</v>
      </c>
      <c r="H482" s="1" t="s">
        <v>1365</v>
      </c>
      <c r="J482" s="1" t="s">
        <v>101</v>
      </c>
      <c r="L482" s="2">
        <v>46997</v>
      </c>
      <c r="M482" s="4">
        <v>39850000</v>
      </c>
      <c r="N482" s="1" t="s">
        <v>23</v>
      </c>
      <c r="O482" s="3">
        <v>500</v>
      </c>
    </row>
    <row r="483" spans="1:15" x14ac:dyDescent="0.3">
      <c r="A483" s="1" t="s">
        <v>16</v>
      </c>
      <c r="B483" s="1" t="s">
        <v>159</v>
      </c>
      <c r="C483" s="1" t="s">
        <v>349</v>
      </c>
      <c r="D483" s="1" t="s">
        <v>163</v>
      </c>
      <c r="E483" s="1" t="s">
        <v>417</v>
      </c>
      <c r="F483" s="1">
        <v>51169</v>
      </c>
      <c r="G483" s="1" t="s">
        <v>1366</v>
      </c>
      <c r="H483" s="1" t="s">
        <v>1367</v>
      </c>
      <c r="I483" s="1" t="s">
        <v>1368</v>
      </c>
      <c r="J483" s="1" t="s">
        <v>101</v>
      </c>
      <c r="L483" s="2">
        <v>46903</v>
      </c>
      <c r="M483" s="4">
        <v>24600000</v>
      </c>
      <c r="N483" s="1" t="s">
        <v>23</v>
      </c>
      <c r="O483" s="3">
        <v>230</v>
      </c>
    </row>
    <row r="484" spans="1:15" x14ac:dyDescent="0.3">
      <c r="A484" s="1" t="s">
        <v>16</v>
      </c>
      <c r="B484" s="1" t="s">
        <v>159</v>
      </c>
      <c r="C484" s="1" t="s">
        <v>349</v>
      </c>
      <c r="D484" s="1" t="s">
        <v>163</v>
      </c>
      <c r="E484" s="1" t="s">
        <v>350</v>
      </c>
      <c r="F484" s="1">
        <v>51170</v>
      </c>
      <c r="G484" s="1" t="s">
        <v>1369</v>
      </c>
      <c r="H484" s="1" t="s">
        <v>1370</v>
      </c>
      <c r="I484" s="1" t="s">
        <v>1371</v>
      </c>
      <c r="J484" s="1" t="s">
        <v>101</v>
      </c>
      <c r="L484" s="2">
        <v>46827</v>
      </c>
      <c r="M484" s="4">
        <v>7450000</v>
      </c>
      <c r="N484" s="1" t="s">
        <v>23</v>
      </c>
      <c r="O484" s="3">
        <v>115</v>
      </c>
    </row>
    <row r="485" spans="1:15" x14ac:dyDescent="0.3">
      <c r="A485" s="1" t="s">
        <v>16</v>
      </c>
      <c r="B485" s="1" t="s">
        <v>159</v>
      </c>
      <c r="C485" s="1" t="s">
        <v>349</v>
      </c>
      <c r="D485" s="1" t="s">
        <v>163</v>
      </c>
      <c r="E485" s="1" t="s">
        <v>350</v>
      </c>
      <c r="F485" s="1">
        <v>51171</v>
      </c>
      <c r="G485" s="1" t="s">
        <v>1372</v>
      </c>
      <c r="H485" s="1" t="s">
        <v>1373</v>
      </c>
      <c r="I485" s="1" t="s">
        <v>1374</v>
      </c>
      <c r="J485" s="1" t="s">
        <v>101</v>
      </c>
      <c r="L485" s="2">
        <v>47065</v>
      </c>
      <c r="M485" s="4">
        <v>7680000</v>
      </c>
      <c r="N485" s="1" t="s">
        <v>23</v>
      </c>
      <c r="O485" s="3">
        <v>138</v>
      </c>
    </row>
    <row r="486" spans="1:15" x14ac:dyDescent="0.3">
      <c r="A486" s="1" t="s">
        <v>16</v>
      </c>
      <c r="B486" s="1" t="s">
        <v>159</v>
      </c>
      <c r="C486" s="1" t="s">
        <v>349</v>
      </c>
      <c r="D486" s="1" t="s">
        <v>163</v>
      </c>
      <c r="E486" s="1" t="s">
        <v>350</v>
      </c>
      <c r="F486" s="1">
        <v>51172</v>
      </c>
      <c r="G486" s="1" t="s">
        <v>1375</v>
      </c>
      <c r="H486" s="1" t="s">
        <v>1376</v>
      </c>
      <c r="I486" s="1" t="s">
        <v>1377</v>
      </c>
      <c r="J486" s="1" t="s">
        <v>101</v>
      </c>
      <c r="L486" s="2">
        <v>46631</v>
      </c>
      <c r="M486" s="4">
        <v>1</v>
      </c>
      <c r="N486" s="1" t="s">
        <v>23</v>
      </c>
      <c r="O486" s="3">
        <v>230</v>
      </c>
    </row>
    <row r="487" spans="1:15" x14ac:dyDescent="0.3">
      <c r="A487" s="1" t="s">
        <v>16</v>
      </c>
      <c r="B487" s="1" t="s">
        <v>159</v>
      </c>
      <c r="C487" s="1" t="s">
        <v>349</v>
      </c>
      <c r="D487" s="1" t="s">
        <v>163</v>
      </c>
      <c r="E487" s="1" t="s">
        <v>350</v>
      </c>
      <c r="F487" s="1">
        <v>51173</v>
      </c>
      <c r="G487" s="1" t="s">
        <v>1378</v>
      </c>
      <c r="H487" s="1" t="s">
        <v>1379</v>
      </c>
      <c r="J487" s="1" t="s">
        <v>101</v>
      </c>
      <c r="L487" s="2">
        <v>46671</v>
      </c>
      <c r="M487" s="4">
        <v>63990000</v>
      </c>
      <c r="N487" s="1" t="s">
        <v>23</v>
      </c>
      <c r="O487" s="3">
        <v>500</v>
      </c>
    </row>
    <row r="488" spans="1:15" x14ac:dyDescent="0.3">
      <c r="A488" s="1" t="s">
        <v>16</v>
      </c>
      <c r="B488" s="1" t="s">
        <v>159</v>
      </c>
      <c r="C488" s="1" t="s">
        <v>366</v>
      </c>
      <c r="D488" s="1" t="s">
        <v>164</v>
      </c>
      <c r="E488" s="1" t="s">
        <v>367</v>
      </c>
      <c r="F488" s="1">
        <v>51174</v>
      </c>
      <c r="G488" s="1" t="s">
        <v>1380</v>
      </c>
      <c r="H488" s="1" t="s">
        <v>1381</v>
      </c>
      <c r="I488" s="1" t="s">
        <v>1382</v>
      </c>
      <c r="J488" s="1" t="s">
        <v>22</v>
      </c>
      <c r="L488" s="2">
        <v>46935</v>
      </c>
      <c r="M488" s="4">
        <v>2500000</v>
      </c>
      <c r="N488" s="1" t="s">
        <v>50</v>
      </c>
      <c r="O488" s="3">
        <v>345</v>
      </c>
    </row>
    <row r="489" spans="1:15" x14ac:dyDescent="0.3">
      <c r="A489" s="1" t="s">
        <v>16</v>
      </c>
      <c r="B489" s="1" t="s">
        <v>159</v>
      </c>
      <c r="C489" s="1" t="s">
        <v>72</v>
      </c>
      <c r="D489" s="1" t="s">
        <v>161</v>
      </c>
      <c r="E489" s="1" t="s">
        <v>73</v>
      </c>
      <c r="F489" s="1">
        <v>51175</v>
      </c>
      <c r="G489" s="1" t="s">
        <v>1383</v>
      </c>
      <c r="H489" s="1" t="s">
        <v>1384</v>
      </c>
      <c r="I489" s="1" t="s">
        <v>1385</v>
      </c>
      <c r="J489" s="1" t="s">
        <v>32</v>
      </c>
      <c r="K489" s="1" t="s">
        <v>82</v>
      </c>
      <c r="L489" s="2">
        <v>46356</v>
      </c>
      <c r="M489" s="4">
        <v>1</v>
      </c>
      <c r="N489" s="1" t="s">
        <v>50</v>
      </c>
      <c r="O489" s="3">
        <v>161</v>
      </c>
    </row>
    <row r="490" spans="1:15" x14ac:dyDescent="0.3">
      <c r="A490" s="1" t="s">
        <v>16</v>
      </c>
      <c r="B490" s="1" t="s">
        <v>159</v>
      </c>
      <c r="C490" s="1" t="s">
        <v>64</v>
      </c>
      <c r="D490" s="1" t="s">
        <v>161</v>
      </c>
      <c r="E490" s="1" t="s">
        <v>65</v>
      </c>
      <c r="F490" s="1">
        <v>51177</v>
      </c>
      <c r="G490" s="1" t="s">
        <v>1386</v>
      </c>
      <c r="H490" s="1" t="s">
        <v>1387</v>
      </c>
      <c r="I490" s="1" t="s">
        <v>1388</v>
      </c>
      <c r="J490" s="1" t="s">
        <v>32</v>
      </c>
      <c r="K490" s="1" t="s">
        <v>205</v>
      </c>
      <c r="L490" s="2">
        <v>46722</v>
      </c>
      <c r="M490" s="4">
        <v>250000</v>
      </c>
      <c r="N490" s="1" t="s">
        <v>50</v>
      </c>
      <c r="O490" s="3">
        <v>345</v>
      </c>
    </row>
    <row r="491" spans="1:15" x14ac:dyDescent="0.3">
      <c r="A491" s="1" t="s">
        <v>16</v>
      </c>
      <c r="B491" s="1" t="s">
        <v>159</v>
      </c>
      <c r="C491" s="1" t="s">
        <v>64</v>
      </c>
      <c r="D491" s="1" t="s">
        <v>161</v>
      </c>
      <c r="E491" s="1" t="s">
        <v>65</v>
      </c>
      <c r="F491" s="1">
        <v>51178</v>
      </c>
      <c r="G491" s="1" t="s">
        <v>1389</v>
      </c>
      <c r="H491" s="1" t="s">
        <v>1390</v>
      </c>
      <c r="I491" s="1" t="s">
        <v>1388</v>
      </c>
      <c r="J491" s="1" t="s">
        <v>32</v>
      </c>
      <c r="K491" s="1" t="s">
        <v>205</v>
      </c>
      <c r="L491" s="2">
        <v>47088</v>
      </c>
      <c r="M491" s="4">
        <v>34850000</v>
      </c>
      <c r="N491" s="1" t="s">
        <v>50</v>
      </c>
      <c r="O491" s="3">
        <v>345</v>
      </c>
    </row>
    <row r="492" spans="1:15" x14ac:dyDescent="0.3">
      <c r="A492" s="1" t="s">
        <v>16</v>
      </c>
      <c r="B492" s="1" t="s">
        <v>159</v>
      </c>
      <c r="C492" s="1" t="s">
        <v>64</v>
      </c>
      <c r="D492" s="1" t="s">
        <v>161</v>
      </c>
      <c r="E492" s="1" t="s">
        <v>65</v>
      </c>
      <c r="F492" s="1">
        <v>51179</v>
      </c>
      <c r="G492" s="1" t="s">
        <v>1391</v>
      </c>
      <c r="H492" s="1" t="s">
        <v>1392</v>
      </c>
      <c r="I492" s="1" t="s">
        <v>1388</v>
      </c>
      <c r="J492" s="1" t="s">
        <v>32</v>
      </c>
      <c r="K492" s="1" t="s">
        <v>205</v>
      </c>
      <c r="L492" s="2">
        <v>47818</v>
      </c>
      <c r="M492" s="4">
        <v>87250000</v>
      </c>
      <c r="N492" s="1" t="s">
        <v>50</v>
      </c>
      <c r="O492" s="3">
        <v>345</v>
      </c>
    </row>
    <row r="493" spans="1:15" x14ac:dyDescent="0.3">
      <c r="A493" s="1" t="s">
        <v>16</v>
      </c>
      <c r="B493" s="1" t="s">
        <v>159</v>
      </c>
      <c r="C493" s="1" t="s">
        <v>1212</v>
      </c>
      <c r="D493" s="1" t="s">
        <v>161</v>
      </c>
      <c r="E493" s="1" t="s">
        <v>28</v>
      </c>
      <c r="F493" s="1">
        <v>51181</v>
      </c>
      <c r="G493" s="1" t="s">
        <v>1393</v>
      </c>
      <c r="H493" s="1" t="s">
        <v>1394</v>
      </c>
      <c r="I493" s="1" t="s">
        <v>1395</v>
      </c>
      <c r="J493" s="1" t="s">
        <v>101</v>
      </c>
      <c r="L493" s="2">
        <v>47027</v>
      </c>
      <c r="M493" s="4">
        <v>43544369</v>
      </c>
      <c r="N493" s="1" t="s">
        <v>23</v>
      </c>
      <c r="O493" s="3">
        <v>345</v>
      </c>
    </row>
    <row r="494" spans="1:15" x14ac:dyDescent="0.3">
      <c r="A494" s="1" t="s">
        <v>16</v>
      </c>
      <c r="B494" s="1" t="s">
        <v>159</v>
      </c>
      <c r="C494" s="1" t="s">
        <v>1396</v>
      </c>
      <c r="D494" s="1" t="s">
        <v>163</v>
      </c>
      <c r="E494" s="1" t="s">
        <v>350</v>
      </c>
      <c r="F494" s="1">
        <v>51182</v>
      </c>
      <c r="G494" s="1" t="s">
        <v>1397</v>
      </c>
      <c r="H494" s="1" t="s">
        <v>1398</v>
      </c>
      <c r="I494" s="1" t="s">
        <v>1399</v>
      </c>
      <c r="J494" s="1" t="s">
        <v>22</v>
      </c>
      <c r="L494" s="2">
        <v>47088</v>
      </c>
      <c r="M494" s="4">
        <v>87150000</v>
      </c>
      <c r="N494" s="1" t="s">
        <v>23</v>
      </c>
      <c r="O494" s="3">
        <v>230</v>
      </c>
    </row>
    <row r="495" spans="1:15" x14ac:dyDescent="0.3">
      <c r="A495" s="1" t="s">
        <v>16</v>
      </c>
      <c r="B495" s="1" t="s">
        <v>159</v>
      </c>
      <c r="C495" s="1" t="s">
        <v>51</v>
      </c>
      <c r="D495" s="1" t="s">
        <v>162</v>
      </c>
      <c r="E495" s="1" t="s">
        <v>18</v>
      </c>
      <c r="F495" s="1">
        <v>51183</v>
      </c>
      <c r="G495" s="1" t="s">
        <v>1400</v>
      </c>
      <c r="H495" s="1" t="s">
        <v>1401</v>
      </c>
      <c r="I495" s="1" t="s">
        <v>1402</v>
      </c>
      <c r="J495" s="1" t="s">
        <v>22</v>
      </c>
      <c r="L495" s="2">
        <v>47848</v>
      </c>
      <c r="M495" s="4">
        <v>1910000</v>
      </c>
      <c r="N495" s="1" t="s">
        <v>23</v>
      </c>
      <c r="O495" s="3">
        <v>138</v>
      </c>
    </row>
    <row r="496" spans="1:15" x14ac:dyDescent="0.3">
      <c r="A496" s="1" t="s">
        <v>16</v>
      </c>
      <c r="B496" s="1" t="s">
        <v>159</v>
      </c>
      <c r="C496" s="1" t="s">
        <v>51</v>
      </c>
      <c r="D496" s="1" t="s">
        <v>162</v>
      </c>
      <c r="E496" s="1" t="s">
        <v>18</v>
      </c>
      <c r="F496" s="1">
        <v>51185</v>
      </c>
      <c r="G496" s="1" t="s">
        <v>1403</v>
      </c>
      <c r="H496" s="1" t="s">
        <v>1404</v>
      </c>
      <c r="I496" s="1" t="s">
        <v>1405</v>
      </c>
      <c r="J496" s="1" t="s">
        <v>22</v>
      </c>
      <c r="L496" s="2">
        <v>48000</v>
      </c>
      <c r="M496" s="4">
        <v>12310000</v>
      </c>
      <c r="N496" s="1" t="s">
        <v>23</v>
      </c>
      <c r="O496" s="3">
        <v>138</v>
      </c>
    </row>
    <row r="497" spans="1:15" x14ac:dyDescent="0.3">
      <c r="A497" s="1" t="s">
        <v>16</v>
      </c>
      <c r="B497" s="1" t="s">
        <v>159</v>
      </c>
      <c r="C497" s="1" t="s">
        <v>349</v>
      </c>
      <c r="D497" s="1" t="s">
        <v>163</v>
      </c>
      <c r="E497" s="1" t="s">
        <v>350</v>
      </c>
      <c r="F497" s="1">
        <v>51187</v>
      </c>
      <c r="G497" s="1" t="s">
        <v>1406</v>
      </c>
      <c r="H497" s="1" t="s">
        <v>1407</v>
      </c>
      <c r="I497" s="1" t="s">
        <v>1408</v>
      </c>
      <c r="J497" s="1" t="s">
        <v>101</v>
      </c>
      <c r="L497" s="2">
        <v>46692</v>
      </c>
      <c r="M497" s="4">
        <v>13900000</v>
      </c>
      <c r="N497" s="1" t="s">
        <v>23</v>
      </c>
      <c r="O497" s="3">
        <v>115</v>
      </c>
    </row>
    <row r="498" spans="1:15" x14ac:dyDescent="0.3">
      <c r="A498" s="1" t="s">
        <v>16</v>
      </c>
      <c r="B498" s="1" t="s">
        <v>159</v>
      </c>
      <c r="C498" s="1" t="s">
        <v>37</v>
      </c>
      <c r="D498" s="1" t="s">
        <v>164</v>
      </c>
      <c r="E498" s="1" t="s">
        <v>42</v>
      </c>
      <c r="F498" s="1">
        <v>51188</v>
      </c>
      <c r="G498" s="1" t="s">
        <v>1409</v>
      </c>
      <c r="H498" s="1" t="s">
        <v>1410</v>
      </c>
      <c r="I498" s="1" t="s">
        <v>156</v>
      </c>
      <c r="J498" s="1" t="s">
        <v>32</v>
      </c>
      <c r="K498" s="1" t="s">
        <v>33</v>
      </c>
      <c r="L498" s="2">
        <v>47453</v>
      </c>
      <c r="M498" s="4">
        <v>6000000</v>
      </c>
      <c r="N498" s="1" t="s">
        <v>23</v>
      </c>
      <c r="O498" s="3">
        <v>138</v>
      </c>
    </row>
    <row r="499" spans="1:15" x14ac:dyDescent="0.3">
      <c r="A499" s="1" t="s">
        <v>16</v>
      </c>
      <c r="B499" s="1" t="s">
        <v>159</v>
      </c>
      <c r="C499" s="1" t="s">
        <v>37</v>
      </c>
      <c r="D499" s="1" t="s">
        <v>164</v>
      </c>
      <c r="E499" s="1" t="s">
        <v>18</v>
      </c>
      <c r="F499" s="1">
        <v>51189</v>
      </c>
      <c r="G499" s="1" t="s">
        <v>1411</v>
      </c>
      <c r="H499" s="1" t="s">
        <v>1412</v>
      </c>
      <c r="I499" s="1" t="s">
        <v>156</v>
      </c>
      <c r="J499" s="1" t="s">
        <v>32</v>
      </c>
      <c r="K499" s="1" t="s">
        <v>33</v>
      </c>
      <c r="L499" s="2">
        <v>47453</v>
      </c>
      <c r="M499" s="4">
        <v>4700000</v>
      </c>
      <c r="N499" s="1" t="s">
        <v>23</v>
      </c>
      <c r="O499" s="3">
        <v>138</v>
      </c>
    </row>
    <row r="500" spans="1:15" x14ac:dyDescent="0.3">
      <c r="A500" s="1" t="s">
        <v>16</v>
      </c>
      <c r="B500" s="1" t="s">
        <v>159</v>
      </c>
      <c r="C500" s="1" t="s">
        <v>349</v>
      </c>
      <c r="D500" s="1" t="s">
        <v>163</v>
      </c>
      <c r="E500" s="1" t="s">
        <v>417</v>
      </c>
      <c r="F500" s="1">
        <v>51190</v>
      </c>
      <c r="G500" s="1" t="s">
        <v>1413</v>
      </c>
      <c r="H500" s="1" t="s">
        <v>1414</v>
      </c>
      <c r="I500" s="1" t="s">
        <v>1415</v>
      </c>
      <c r="J500" s="1" t="s">
        <v>101</v>
      </c>
      <c r="L500" s="2">
        <v>46903</v>
      </c>
      <c r="M500" s="4">
        <v>7700000</v>
      </c>
      <c r="N500" s="1" t="s">
        <v>23</v>
      </c>
      <c r="O500" s="3">
        <v>230</v>
      </c>
    </row>
    <row r="501" spans="1:15" x14ac:dyDescent="0.3">
      <c r="A501" s="1" t="s">
        <v>16</v>
      </c>
      <c r="B501" s="1" t="s">
        <v>159</v>
      </c>
      <c r="C501" s="1" t="s">
        <v>366</v>
      </c>
      <c r="D501" s="1" t="s">
        <v>164</v>
      </c>
      <c r="E501" s="1" t="s">
        <v>367</v>
      </c>
      <c r="F501" s="1">
        <v>51192</v>
      </c>
      <c r="G501" s="1" t="s">
        <v>1416</v>
      </c>
      <c r="H501" s="1" t="s">
        <v>1417</v>
      </c>
      <c r="I501" s="1" t="s">
        <v>1418</v>
      </c>
      <c r="J501" s="1" t="s">
        <v>32</v>
      </c>
      <c r="K501" s="1" t="s">
        <v>82</v>
      </c>
      <c r="L501" s="2">
        <v>46752</v>
      </c>
      <c r="M501" s="4">
        <v>2000000</v>
      </c>
      <c r="N501" s="1" t="s">
        <v>23</v>
      </c>
      <c r="O501" s="3">
        <v>345</v>
      </c>
    </row>
    <row r="502" spans="1:15" x14ac:dyDescent="0.3">
      <c r="A502" s="1" t="s">
        <v>16</v>
      </c>
      <c r="B502" s="1" t="s">
        <v>159</v>
      </c>
      <c r="C502" s="1" t="s">
        <v>41</v>
      </c>
      <c r="D502" s="1" t="s">
        <v>164</v>
      </c>
      <c r="E502" s="1" t="s">
        <v>56</v>
      </c>
      <c r="F502" s="1">
        <v>51193</v>
      </c>
      <c r="G502" s="1" t="s">
        <v>1419</v>
      </c>
      <c r="H502" s="1" t="s">
        <v>1420</v>
      </c>
      <c r="I502" s="1" t="s">
        <v>1421</v>
      </c>
      <c r="J502" s="1" t="s">
        <v>32</v>
      </c>
      <c r="K502" s="1" t="s">
        <v>82</v>
      </c>
      <c r="L502" s="2">
        <v>46507</v>
      </c>
      <c r="M502" s="4">
        <v>150000</v>
      </c>
      <c r="N502" s="1" t="s">
        <v>23</v>
      </c>
      <c r="O502" s="3">
        <v>69</v>
      </c>
    </row>
    <row r="503" spans="1:15" x14ac:dyDescent="0.3">
      <c r="A503" s="1" t="s">
        <v>16</v>
      </c>
      <c r="B503" s="1" t="s">
        <v>159</v>
      </c>
      <c r="C503" s="1" t="s">
        <v>41</v>
      </c>
      <c r="D503" s="1" t="s">
        <v>164</v>
      </c>
      <c r="E503" s="1" t="s">
        <v>56</v>
      </c>
      <c r="F503" s="1">
        <v>51194</v>
      </c>
      <c r="G503" s="1" t="s">
        <v>1422</v>
      </c>
      <c r="H503" s="1" t="s">
        <v>1423</v>
      </c>
      <c r="I503" s="1" t="s">
        <v>1424</v>
      </c>
      <c r="J503" s="1" t="s">
        <v>32</v>
      </c>
      <c r="K503" s="1" t="s">
        <v>82</v>
      </c>
      <c r="L503" s="2">
        <v>46507</v>
      </c>
      <c r="M503" s="4">
        <v>150000</v>
      </c>
      <c r="N503" s="1" t="s">
        <v>23</v>
      </c>
      <c r="O503" s="3">
        <v>115</v>
      </c>
    </row>
    <row r="504" spans="1:15" x14ac:dyDescent="0.3">
      <c r="A504" s="1" t="s">
        <v>16</v>
      </c>
      <c r="B504" s="1" t="s">
        <v>160</v>
      </c>
      <c r="C504" s="1" t="s">
        <v>72</v>
      </c>
      <c r="D504" s="1" t="s">
        <v>161</v>
      </c>
      <c r="E504" s="1" t="s">
        <v>73</v>
      </c>
      <c r="F504" s="1">
        <v>51195</v>
      </c>
      <c r="G504" s="1" t="s">
        <v>1425</v>
      </c>
      <c r="H504" s="1" t="s">
        <v>1426</v>
      </c>
      <c r="I504" s="1" t="s">
        <v>1427</v>
      </c>
      <c r="J504" s="1" t="s">
        <v>32</v>
      </c>
      <c r="K504" s="1" t="s">
        <v>205</v>
      </c>
      <c r="L504" s="2">
        <v>46722</v>
      </c>
      <c r="M504" s="4">
        <v>250000</v>
      </c>
      <c r="N504" s="1" t="s">
        <v>23</v>
      </c>
      <c r="O504" s="3">
        <v>345</v>
      </c>
    </row>
    <row r="505" spans="1:15" x14ac:dyDescent="0.3">
      <c r="A505" s="1" t="s">
        <v>16</v>
      </c>
      <c r="B505" s="1" t="s">
        <v>160</v>
      </c>
      <c r="C505" s="1" t="s">
        <v>72</v>
      </c>
      <c r="D505" s="1" t="s">
        <v>161</v>
      </c>
      <c r="E505" s="1" t="s">
        <v>73</v>
      </c>
      <c r="F505" s="1">
        <v>51196</v>
      </c>
      <c r="G505" s="1" t="s">
        <v>1428</v>
      </c>
      <c r="H505" s="1" t="s">
        <v>1429</v>
      </c>
      <c r="I505" s="1" t="s">
        <v>1427</v>
      </c>
      <c r="J505" s="1" t="s">
        <v>22</v>
      </c>
      <c r="L505" s="2">
        <v>47818</v>
      </c>
      <c r="M505" s="4">
        <v>25000000</v>
      </c>
      <c r="N505" s="1" t="s">
        <v>23</v>
      </c>
      <c r="O505" s="3">
        <v>345</v>
      </c>
    </row>
    <row r="506" spans="1:15" x14ac:dyDescent="0.3">
      <c r="A506" s="1" t="s">
        <v>16</v>
      </c>
      <c r="B506" s="1" t="s">
        <v>160</v>
      </c>
      <c r="C506" s="1" t="s">
        <v>1430</v>
      </c>
      <c r="D506" s="1" t="s">
        <v>161</v>
      </c>
      <c r="E506" s="1" t="s">
        <v>65</v>
      </c>
      <c r="F506" s="1">
        <v>51197</v>
      </c>
      <c r="G506" s="1" t="s">
        <v>1431</v>
      </c>
      <c r="H506" s="1" t="s">
        <v>1432</v>
      </c>
      <c r="J506" s="1" t="s">
        <v>101</v>
      </c>
      <c r="L506" s="2">
        <v>46706</v>
      </c>
      <c r="M506" s="4">
        <v>5526000</v>
      </c>
      <c r="N506" s="1" t="s">
        <v>23</v>
      </c>
      <c r="O506" s="3">
        <v>69</v>
      </c>
    </row>
    <row r="507" spans="1:15" x14ac:dyDescent="0.3">
      <c r="A507" s="1" t="s">
        <v>16</v>
      </c>
      <c r="B507" s="1" t="s">
        <v>160</v>
      </c>
      <c r="C507" s="1" t="s">
        <v>1430</v>
      </c>
      <c r="D507" s="1" t="s">
        <v>161</v>
      </c>
      <c r="E507" s="1" t="s">
        <v>65</v>
      </c>
      <c r="F507" s="1">
        <v>51198</v>
      </c>
      <c r="G507" s="1" t="s">
        <v>1433</v>
      </c>
      <c r="H507" s="1" t="s">
        <v>1434</v>
      </c>
      <c r="J507" s="1" t="s">
        <v>101</v>
      </c>
      <c r="L507" s="2">
        <v>46613</v>
      </c>
      <c r="M507" s="4">
        <v>1008000</v>
      </c>
      <c r="N507" s="1" t="s">
        <v>23</v>
      </c>
      <c r="O507" s="3">
        <v>69</v>
      </c>
    </row>
    <row r="508" spans="1:15" x14ac:dyDescent="0.3">
      <c r="A508" s="1" t="s">
        <v>16</v>
      </c>
      <c r="B508" s="1" t="s">
        <v>160</v>
      </c>
      <c r="C508" s="1" t="s">
        <v>173</v>
      </c>
      <c r="D508" s="1" t="s">
        <v>163</v>
      </c>
      <c r="E508" s="1" t="s">
        <v>130</v>
      </c>
      <c r="F508" s="1">
        <v>51199</v>
      </c>
      <c r="G508" s="1" t="s">
        <v>1435</v>
      </c>
      <c r="H508" s="1" t="s">
        <v>1436</v>
      </c>
      <c r="J508" s="1" t="s">
        <v>22</v>
      </c>
      <c r="L508" s="2">
        <v>49461</v>
      </c>
      <c r="M508" s="4">
        <v>1150000</v>
      </c>
      <c r="N508" s="1" t="s">
        <v>23</v>
      </c>
      <c r="O508" s="3">
        <v>161</v>
      </c>
    </row>
    <row r="509" spans="1:15" x14ac:dyDescent="0.3">
      <c r="A509" s="1" t="s">
        <v>16</v>
      </c>
      <c r="B509" s="1" t="s">
        <v>159</v>
      </c>
      <c r="C509" s="1" t="s">
        <v>349</v>
      </c>
      <c r="D509" s="1" t="s">
        <v>163</v>
      </c>
      <c r="E509" s="1" t="s">
        <v>350</v>
      </c>
      <c r="F509" s="1">
        <v>51200</v>
      </c>
      <c r="G509" s="1" t="s">
        <v>1437</v>
      </c>
      <c r="H509" s="1" t="s">
        <v>1438</v>
      </c>
      <c r="I509" s="1" t="s">
        <v>1439</v>
      </c>
      <c r="J509" s="1" t="s">
        <v>101</v>
      </c>
      <c r="L509" s="2">
        <v>46705</v>
      </c>
      <c r="M509" s="4">
        <v>17027560</v>
      </c>
      <c r="N509" s="1" t="s">
        <v>23</v>
      </c>
      <c r="O509" s="3">
        <v>138</v>
      </c>
    </row>
    <row r="510" spans="1:15" x14ac:dyDescent="0.3">
      <c r="A510" s="1" t="s">
        <v>16</v>
      </c>
      <c r="B510" s="1" t="s">
        <v>159</v>
      </c>
      <c r="C510" s="1" t="s">
        <v>349</v>
      </c>
      <c r="D510" s="1" t="s">
        <v>163</v>
      </c>
      <c r="E510" s="1" t="s">
        <v>417</v>
      </c>
      <c r="F510" s="1">
        <v>51201</v>
      </c>
      <c r="G510" s="1" t="s">
        <v>1440</v>
      </c>
      <c r="H510" s="1" t="s">
        <v>1441</v>
      </c>
      <c r="I510" s="1" t="s">
        <v>1442</v>
      </c>
      <c r="J510" s="1" t="s">
        <v>101</v>
      </c>
      <c r="L510" s="2">
        <v>47088</v>
      </c>
      <c r="M510" s="4">
        <v>30175000</v>
      </c>
      <c r="N510" s="1" t="s">
        <v>23</v>
      </c>
      <c r="O510" s="3">
        <v>138</v>
      </c>
    </row>
    <row r="511" spans="1:15" x14ac:dyDescent="0.3">
      <c r="A511" s="1" t="s">
        <v>16</v>
      </c>
      <c r="B511" s="1" t="s">
        <v>159</v>
      </c>
      <c r="C511" s="1" t="s">
        <v>478</v>
      </c>
      <c r="D511" s="1" t="s">
        <v>163</v>
      </c>
      <c r="E511" s="1" t="s">
        <v>417</v>
      </c>
      <c r="F511" s="1">
        <v>51202</v>
      </c>
      <c r="G511" s="1" t="s">
        <v>1443</v>
      </c>
      <c r="H511" s="1" t="s">
        <v>1444</v>
      </c>
      <c r="I511" s="1" t="s">
        <v>1445</v>
      </c>
      <c r="J511" s="1" t="s">
        <v>22</v>
      </c>
      <c r="L511" s="2">
        <v>48944</v>
      </c>
      <c r="M511" s="4">
        <v>77194925</v>
      </c>
      <c r="N511" s="1" t="s">
        <v>23</v>
      </c>
      <c r="O511" s="3">
        <v>138</v>
      </c>
    </row>
    <row r="512" spans="1:15" x14ac:dyDescent="0.3">
      <c r="A512" s="1" t="s">
        <v>16</v>
      </c>
      <c r="B512" s="1" t="s">
        <v>159</v>
      </c>
      <c r="C512" s="1" t="s">
        <v>37</v>
      </c>
      <c r="D512" s="1" t="s">
        <v>164</v>
      </c>
      <c r="E512" s="1" t="s">
        <v>42</v>
      </c>
      <c r="F512" s="1">
        <v>51204</v>
      </c>
      <c r="G512" s="1" t="s">
        <v>1446</v>
      </c>
      <c r="H512" s="1" t="s">
        <v>1447</v>
      </c>
      <c r="I512" s="1" t="s">
        <v>156</v>
      </c>
      <c r="J512" s="1" t="s">
        <v>32</v>
      </c>
      <c r="K512" s="1" t="s">
        <v>33</v>
      </c>
      <c r="L512" s="2">
        <v>47453</v>
      </c>
      <c r="M512" s="4">
        <v>8100000</v>
      </c>
      <c r="N512" s="1" t="s">
        <v>23</v>
      </c>
      <c r="O512" s="3">
        <v>138</v>
      </c>
    </row>
    <row r="513" spans="1:16" x14ac:dyDescent="0.3">
      <c r="A513" s="1" t="s">
        <v>16</v>
      </c>
      <c r="B513" s="1" t="s">
        <v>159</v>
      </c>
      <c r="C513" s="1" t="s">
        <v>750</v>
      </c>
      <c r="D513" s="1" t="s">
        <v>163</v>
      </c>
      <c r="E513" s="1" t="s">
        <v>358</v>
      </c>
      <c r="F513" s="1">
        <v>51205</v>
      </c>
      <c r="G513" s="1" t="s">
        <v>1448</v>
      </c>
      <c r="H513" s="1" t="s">
        <v>1449</v>
      </c>
      <c r="I513" s="1" t="s">
        <v>1450</v>
      </c>
      <c r="J513" s="1" t="s">
        <v>32</v>
      </c>
      <c r="K513" s="1" t="s">
        <v>205</v>
      </c>
      <c r="L513" s="2">
        <v>46904</v>
      </c>
      <c r="M513" s="4">
        <v>14500000</v>
      </c>
      <c r="N513" s="1" t="s">
        <v>50</v>
      </c>
      <c r="O513" s="3">
        <v>161</v>
      </c>
    </row>
    <row r="514" spans="1:16" x14ac:dyDescent="0.3">
      <c r="A514" s="1" t="s">
        <v>16</v>
      </c>
      <c r="B514" s="1" t="s">
        <v>159</v>
      </c>
      <c r="C514" s="1" t="s">
        <v>37</v>
      </c>
      <c r="D514" s="1" t="s">
        <v>164</v>
      </c>
      <c r="E514" s="1" t="s">
        <v>42</v>
      </c>
      <c r="F514" s="1">
        <v>51206</v>
      </c>
      <c r="G514" s="1" t="s">
        <v>1451</v>
      </c>
      <c r="H514" s="1" t="s">
        <v>1452</v>
      </c>
      <c r="I514" s="1" t="s">
        <v>1453</v>
      </c>
      <c r="J514" s="1" t="s">
        <v>32</v>
      </c>
      <c r="K514" s="1" t="s">
        <v>82</v>
      </c>
      <c r="L514" s="2">
        <v>47788</v>
      </c>
      <c r="M514" s="4">
        <v>20000000</v>
      </c>
      <c r="N514" s="1" t="s">
        <v>23</v>
      </c>
      <c r="O514" s="3">
        <v>69</v>
      </c>
    </row>
    <row r="515" spans="1:16" x14ac:dyDescent="0.3">
      <c r="A515" s="1" t="s">
        <v>16</v>
      </c>
      <c r="B515" s="1" t="s">
        <v>159</v>
      </c>
      <c r="C515" s="1" t="s">
        <v>232</v>
      </c>
      <c r="D515" s="1" t="s">
        <v>161</v>
      </c>
      <c r="E515" s="1" t="s">
        <v>28</v>
      </c>
      <c r="F515" s="1">
        <v>51207</v>
      </c>
      <c r="G515" s="1" t="s">
        <v>1454</v>
      </c>
      <c r="H515" s="1" t="s">
        <v>1455</v>
      </c>
      <c r="I515" s="1" t="s">
        <v>1456</v>
      </c>
      <c r="J515" s="1" t="s">
        <v>32</v>
      </c>
      <c r="K515" s="1" t="s">
        <v>205</v>
      </c>
      <c r="L515" s="2">
        <v>46204</v>
      </c>
      <c r="M515" s="4">
        <v>1804966</v>
      </c>
      <c r="N515" s="1" t="s">
        <v>171</v>
      </c>
      <c r="O515" s="3">
        <v>230</v>
      </c>
    </row>
    <row r="516" spans="1:16" x14ac:dyDescent="0.3">
      <c r="A516" s="1" t="s">
        <v>16</v>
      </c>
      <c r="B516" s="1" t="s">
        <v>159</v>
      </c>
      <c r="C516" s="1" t="s">
        <v>219</v>
      </c>
      <c r="D516" s="1" t="s">
        <v>164</v>
      </c>
      <c r="E516" s="1" t="s">
        <v>56</v>
      </c>
      <c r="F516" s="1">
        <v>51208</v>
      </c>
      <c r="G516" s="1" t="s">
        <v>1457</v>
      </c>
      <c r="H516" s="1" t="s">
        <v>1458</v>
      </c>
      <c r="I516" s="1" t="s">
        <v>1459</v>
      </c>
      <c r="J516" s="1" t="s">
        <v>32</v>
      </c>
      <c r="K516" s="1" t="s">
        <v>46</v>
      </c>
      <c r="L516" s="2">
        <v>46235</v>
      </c>
      <c r="M516" s="4">
        <v>150000</v>
      </c>
      <c r="N516" s="1" t="s">
        <v>23</v>
      </c>
      <c r="O516" s="3">
        <v>69</v>
      </c>
    </row>
    <row r="517" spans="1:16" x14ac:dyDescent="0.3">
      <c r="A517" s="1" t="s">
        <v>16</v>
      </c>
      <c r="B517" s="1" t="s">
        <v>159</v>
      </c>
      <c r="C517" s="1" t="s">
        <v>64</v>
      </c>
      <c r="D517" s="1" t="s">
        <v>161</v>
      </c>
      <c r="E517" s="1" t="s">
        <v>65</v>
      </c>
      <c r="F517" s="1">
        <v>51209</v>
      </c>
      <c r="G517" s="1" t="s">
        <v>1460</v>
      </c>
      <c r="H517" s="1" t="s">
        <v>1461</v>
      </c>
      <c r="I517" s="1" t="s">
        <v>1462</v>
      </c>
      <c r="J517" s="1" t="s">
        <v>32</v>
      </c>
      <c r="K517" s="1" t="s">
        <v>33</v>
      </c>
      <c r="L517" s="2">
        <v>47453</v>
      </c>
      <c r="M517" s="4">
        <v>15500000</v>
      </c>
      <c r="N517" s="1" t="s">
        <v>23</v>
      </c>
      <c r="O517" s="3">
        <v>138</v>
      </c>
    </row>
    <row r="518" spans="1:16" x14ac:dyDescent="0.3">
      <c r="A518" s="1" t="s">
        <v>16</v>
      </c>
      <c r="B518" s="1" t="s">
        <v>159</v>
      </c>
      <c r="C518" s="1" t="s">
        <v>1463</v>
      </c>
      <c r="D518" s="1" t="s">
        <v>164</v>
      </c>
      <c r="E518" s="1" t="s">
        <v>367</v>
      </c>
      <c r="F518" s="1">
        <v>51213</v>
      </c>
      <c r="G518" s="1" t="s">
        <v>1464</v>
      </c>
      <c r="H518" s="1" t="s">
        <v>1465</v>
      </c>
      <c r="I518" s="1" t="s">
        <v>1466</v>
      </c>
      <c r="J518" s="1" t="s">
        <v>32</v>
      </c>
      <c r="K518" s="1" t="s">
        <v>205</v>
      </c>
      <c r="L518" s="2">
        <v>46296</v>
      </c>
      <c r="M518" s="4">
        <v>2000000</v>
      </c>
      <c r="N518" s="1" t="s">
        <v>23</v>
      </c>
      <c r="O518" s="3">
        <v>161</v>
      </c>
    </row>
    <row r="519" spans="1:16" x14ac:dyDescent="0.3">
      <c r="A519" s="1" t="s">
        <v>16</v>
      </c>
      <c r="B519" s="1" t="s">
        <v>159</v>
      </c>
      <c r="C519" s="1" t="s">
        <v>992</v>
      </c>
      <c r="D519" s="1" t="s">
        <v>164</v>
      </c>
      <c r="E519" s="1" t="s">
        <v>719</v>
      </c>
      <c r="F519" s="1">
        <v>51215</v>
      </c>
      <c r="G519" s="1" t="s">
        <v>1467</v>
      </c>
      <c r="H519" s="1" t="s">
        <v>1468</v>
      </c>
      <c r="I519" s="1" t="s">
        <v>1469</v>
      </c>
      <c r="J519" s="1" t="s">
        <v>32</v>
      </c>
      <c r="K519" s="1" t="s">
        <v>46</v>
      </c>
      <c r="L519" s="2">
        <v>47483</v>
      </c>
      <c r="M519" s="4">
        <v>3750000</v>
      </c>
      <c r="N519" s="1" t="s">
        <v>23</v>
      </c>
      <c r="O519" s="3">
        <v>69</v>
      </c>
      <c r="P519" s="3">
        <v>42</v>
      </c>
    </row>
    <row r="520" spans="1:16" x14ac:dyDescent="0.3">
      <c r="A520" s="1" t="s">
        <v>16</v>
      </c>
      <c r="B520" s="1" t="s">
        <v>159</v>
      </c>
      <c r="C520" s="1" t="s">
        <v>366</v>
      </c>
      <c r="D520" s="1" t="s">
        <v>164</v>
      </c>
      <c r="E520" s="1" t="s">
        <v>367</v>
      </c>
      <c r="F520" s="1">
        <v>51216</v>
      </c>
      <c r="G520" s="1" t="s">
        <v>1470</v>
      </c>
      <c r="H520" s="1" t="s">
        <v>1471</v>
      </c>
      <c r="I520" s="1" t="s">
        <v>1472</v>
      </c>
      <c r="J520" s="1" t="s">
        <v>32</v>
      </c>
      <c r="K520" s="1" t="s">
        <v>205</v>
      </c>
      <c r="L520" s="2">
        <v>47150</v>
      </c>
      <c r="M520" s="4">
        <v>42500000</v>
      </c>
      <c r="N520" s="1" t="s">
        <v>50</v>
      </c>
      <c r="O520" s="3">
        <v>161</v>
      </c>
    </row>
    <row r="521" spans="1:16" x14ac:dyDescent="0.3">
      <c r="A521" s="1" t="s">
        <v>16</v>
      </c>
      <c r="B521" s="1" t="s">
        <v>159</v>
      </c>
      <c r="C521" s="1" t="s">
        <v>37</v>
      </c>
      <c r="D521" s="1" t="s">
        <v>164</v>
      </c>
      <c r="E521" s="1" t="s">
        <v>42</v>
      </c>
      <c r="F521" s="1">
        <v>51217</v>
      </c>
      <c r="G521" s="1" t="s">
        <v>1473</v>
      </c>
      <c r="H521" s="1" t="s">
        <v>1474</v>
      </c>
      <c r="I521" s="1" t="s">
        <v>156</v>
      </c>
      <c r="J521" s="1" t="s">
        <v>32</v>
      </c>
      <c r="K521" s="1" t="s">
        <v>33</v>
      </c>
      <c r="L521" s="2">
        <v>47453</v>
      </c>
      <c r="M521" s="4">
        <v>4100000</v>
      </c>
      <c r="N521" s="1" t="s">
        <v>23</v>
      </c>
      <c r="O521" s="3">
        <v>138</v>
      </c>
    </row>
    <row r="522" spans="1:16" x14ac:dyDescent="0.3">
      <c r="A522" s="1" t="s">
        <v>16</v>
      </c>
      <c r="B522" s="1" t="s">
        <v>159</v>
      </c>
      <c r="C522" s="1" t="s">
        <v>37</v>
      </c>
      <c r="D522" s="1" t="s">
        <v>164</v>
      </c>
      <c r="E522" s="1" t="s">
        <v>42</v>
      </c>
      <c r="F522" s="1">
        <v>51218</v>
      </c>
      <c r="G522" s="1" t="s">
        <v>1475</v>
      </c>
      <c r="H522" s="1" t="s">
        <v>1476</v>
      </c>
      <c r="I522" s="1" t="s">
        <v>156</v>
      </c>
      <c r="J522" s="1" t="s">
        <v>32</v>
      </c>
      <c r="K522" s="1" t="s">
        <v>33</v>
      </c>
      <c r="L522" s="2">
        <v>47453</v>
      </c>
      <c r="M522" s="4">
        <v>4100000</v>
      </c>
      <c r="N522" s="1" t="s">
        <v>23</v>
      </c>
      <c r="O522" s="3">
        <v>138</v>
      </c>
    </row>
    <row r="523" spans="1:16" x14ac:dyDescent="0.3">
      <c r="A523" s="1" t="s">
        <v>16</v>
      </c>
      <c r="B523" s="1" t="s">
        <v>159</v>
      </c>
      <c r="C523" s="1" t="s">
        <v>172</v>
      </c>
      <c r="D523" s="1" t="s">
        <v>164</v>
      </c>
      <c r="E523" s="1" t="s">
        <v>117</v>
      </c>
      <c r="F523" s="1">
        <v>51219</v>
      </c>
      <c r="G523" s="1" t="s">
        <v>1477</v>
      </c>
      <c r="H523" s="1" t="s">
        <v>1478</v>
      </c>
      <c r="J523" s="1" t="s">
        <v>32</v>
      </c>
      <c r="K523" s="1" t="s">
        <v>205</v>
      </c>
      <c r="L523" s="2">
        <v>46539</v>
      </c>
      <c r="M523" s="4">
        <v>2210000</v>
      </c>
      <c r="N523" s="1" t="s">
        <v>50</v>
      </c>
      <c r="O523" s="3">
        <v>230</v>
      </c>
    </row>
    <row r="524" spans="1:16" x14ac:dyDescent="0.3">
      <c r="A524" s="1" t="s">
        <v>16</v>
      </c>
      <c r="B524" s="1" t="s">
        <v>159</v>
      </c>
      <c r="C524" s="1" t="s">
        <v>17</v>
      </c>
      <c r="D524" s="1" t="s">
        <v>162</v>
      </c>
      <c r="E524" s="1" t="s">
        <v>18</v>
      </c>
      <c r="F524" s="1">
        <v>51220</v>
      </c>
      <c r="G524" s="1" t="s">
        <v>1479</v>
      </c>
      <c r="H524" s="1" t="s">
        <v>1480</v>
      </c>
      <c r="I524" s="1" t="s">
        <v>1481</v>
      </c>
      <c r="J524" s="1" t="s">
        <v>32</v>
      </c>
      <c r="K524" s="1" t="s">
        <v>205</v>
      </c>
      <c r="L524" s="2">
        <v>47092</v>
      </c>
      <c r="M524" s="4">
        <v>308000000</v>
      </c>
      <c r="N524" s="1" t="s">
        <v>50</v>
      </c>
      <c r="O524" s="3">
        <v>345</v>
      </c>
    </row>
    <row r="525" spans="1:16" x14ac:dyDescent="0.3">
      <c r="A525" s="1" t="s">
        <v>16</v>
      </c>
      <c r="B525" s="1" t="s">
        <v>159</v>
      </c>
      <c r="C525" s="1" t="s">
        <v>64</v>
      </c>
      <c r="D525" s="1" t="s">
        <v>161</v>
      </c>
      <c r="E525" s="1" t="s">
        <v>65</v>
      </c>
      <c r="F525" s="1">
        <v>51222</v>
      </c>
      <c r="G525" s="1" t="s">
        <v>1482</v>
      </c>
      <c r="H525" s="1" t="s">
        <v>1483</v>
      </c>
      <c r="I525" s="1" t="s">
        <v>449</v>
      </c>
      <c r="J525" s="1" t="s">
        <v>101</v>
      </c>
      <c r="L525" s="2">
        <v>46022</v>
      </c>
      <c r="M525" s="4">
        <v>100000</v>
      </c>
      <c r="N525" s="1" t="s">
        <v>23</v>
      </c>
      <c r="O525" s="3">
        <v>138</v>
      </c>
    </row>
    <row r="526" spans="1:16" x14ac:dyDescent="0.3">
      <c r="A526" s="1" t="s">
        <v>16</v>
      </c>
      <c r="B526" s="1" t="s">
        <v>159</v>
      </c>
      <c r="C526" s="1" t="s">
        <v>366</v>
      </c>
      <c r="D526" s="1" t="s">
        <v>164</v>
      </c>
      <c r="E526" s="1" t="s">
        <v>367</v>
      </c>
      <c r="F526" s="1">
        <v>51223</v>
      </c>
      <c r="G526" s="1" t="s">
        <v>1484</v>
      </c>
      <c r="H526" s="1" t="s">
        <v>1485</v>
      </c>
      <c r="I526" s="1" t="s">
        <v>1486</v>
      </c>
      <c r="J526" s="1" t="s">
        <v>101</v>
      </c>
      <c r="L526" s="2">
        <v>46631</v>
      </c>
      <c r="M526" s="4">
        <v>29100000</v>
      </c>
      <c r="N526" s="1" t="s">
        <v>23</v>
      </c>
      <c r="O526" s="3">
        <v>345</v>
      </c>
    </row>
    <row r="527" spans="1:16" x14ac:dyDescent="0.3">
      <c r="A527" s="1" t="s">
        <v>16</v>
      </c>
      <c r="B527" s="1" t="s">
        <v>159</v>
      </c>
      <c r="C527" s="1" t="s">
        <v>329</v>
      </c>
      <c r="D527" s="1" t="s">
        <v>161</v>
      </c>
      <c r="E527" s="1" t="s">
        <v>28</v>
      </c>
      <c r="F527" s="1">
        <v>51228</v>
      </c>
      <c r="G527" s="1" t="s">
        <v>1487</v>
      </c>
      <c r="H527" s="1" t="s">
        <v>1488</v>
      </c>
      <c r="I527" s="1" t="s">
        <v>205</v>
      </c>
      <c r="J527" s="1" t="s">
        <v>32</v>
      </c>
      <c r="K527" s="1" t="s">
        <v>205</v>
      </c>
      <c r="L527" s="2">
        <v>47910</v>
      </c>
      <c r="M527" s="4">
        <v>41700000</v>
      </c>
      <c r="N527" s="1" t="s">
        <v>23</v>
      </c>
      <c r="O527" s="3">
        <v>138</v>
      </c>
    </row>
    <row r="528" spans="1:16" x14ac:dyDescent="0.3">
      <c r="A528" s="1" t="s">
        <v>16</v>
      </c>
      <c r="B528" s="1" t="s">
        <v>160</v>
      </c>
      <c r="C528" s="1" t="s">
        <v>329</v>
      </c>
      <c r="D528" s="1" t="s">
        <v>161</v>
      </c>
      <c r="E528" s="1" t="s">
        <v>28</v>
      </c>
      <c r="F528" s="1">
        <v>51237</v>
      </c>
      <c r="G528" s="1" t="s">
        <v>1489</v>
      </c>
      <c r="H528" s="1" t="s">
        <v>1490</v>
      </c>
      <c r="I528" s="1" t="s">
        <v>1491</v>
      </c>
      <c r="J528" s="1" t="s">
        <v>22</v>
      </c>
      <c r="L528" s="2">
        <v>47574</v>
      </c>
      <c r="M528" s="4">
        <v>64000000</v>
      </c>
      <c r="N528" s="1" t="s">
        <v>23</v>
      </c>
      <c r="O528" s="3">
        <v>345</v>
      </c>
    </row>
    <row r="529" spans="1:16" x14ac:dyDescent="0.3">
      <c r="A529" s="1" t="s">
        <v>16</v>
      </c>
      <c r="B529" s="1" t="s">
        <v>159</v>
      </c>
      <c r="C529" s="1" t="s">
        <v>750</v>
      </c>
      <c r="D529" s="1" t="s">
        <v>163</v>
      </c>
      <c r="E529" s="1" t="s">
        <v>358</v>
      </c>
      <c r="F529" s="1">
        <v>51238</v>
      </c>
      <c r="G529" s="1" t="s">
        <v>1492</v>
      </c>
      <c r="H529" s="1" t="s">
        <v>1493</v>
      </c>
      <c r="I529" s="1" t="s">
        <v>1494</v>
      </c>
      <c r="J529" s="1" t="s">
        <v>32</v>
      </c>
      <c r="K529" s="1" t="s">
        <v>205</v>
      </c>
      <c r="L529" s="2">
        <v>46904</v>
      </c>
      <c r="M529" s="4">
        <v>28000000</v>
      </c>
      <c r="N529" s="1" t="s">
        <v>23</v>
      </c>
      <c r="O529" s="3">
        <v>230</v>
      </c>
    </row>
    <row r="530" spans="1:16" x14ac:dyDescent="0.3">
      <c r="A530" s="1" t="s">
        <v>16</v>
      </c>
      <c r="B530" s="1" t="s">
        <v>159</v>
      </c>
      <c r="C530" s="1" t="s">
        <v>1495</v>
      </c>
      <c r="D530" s="1" t="s">
        <v>164</v>
      </c>
      <c r="E530" s="1" t="s">
        <v>117</v>
      </c>
      <c r="F530" s="1">
        <v>51244</v>
      </c>
      <c r="G530" s="1" t="s">
        <v>1496</v>
      </c>
      <c r="H530" s="1" t="s">
        <v>1497</v>
      </c>
      <c r="I530" s="1" t="s">
        <v>1498</v>
      </c>
      <c r="J530" s="1" t="s">
        <v>32</v>
      </c>
      <c r="K530" s="1" t="s">
        <v>205</v>
      </c>
      <c r="L530" s="2">
        <v>46204</v>
      </c>
      <c r="M530" s="4">
        <v>14000000</v>
      </c>
      <c r="N530" s="1" t="s">
        <v>23</v>
      </c>
      <c r="O530" s="3">
        <v>345</v>
      </c>
    </row>
    <row r="531" spans="1:16" x14ac:dyDescent="0.3">
      <c r="A531" s="1" t="s">
        <v>16</v>
      </c>
      <c r="B531" s="1" t="s">
        <v>159</v>
      </c>
      <c r="C531" s="1" t="s">
        <v>37</v>
      </c>
      <c r="D531" s="1" t="s">
        <v>164</v>
      </c>
      <c r="E531" s="1" t="s">
        <v>42</v>
      </c>
      <c r="F531" s="1">
        <v>51251</v>
      </c>
      <c r="G531" s="1" t="s">
        <v>1499</v>
      </c>
      <c r="H531" s="1" t="s">
        <v>1500</v>
      </c>
      <c r="I531" s="1" t="s">
        <v>1501</v>
      </c>
      <c r="J531" s="1" t="s">
        <v>32</v>
      </c>
      <c r="K531" s="1" t="s">
        <v>82</v>
      </c>
      <c r="L531" s="2">
        <v>46568</v>
      </c>
      <c r="M531" s="4">
        <v>9000000</v>
      </c>
      <c r="N531" s="1" t="s">
        <v>23</v>
      </c>
      <c r="O531" s="3">
        <v>138</v>
      </c>
    </row>
    <row r="532" spans="1:16" x14ac:dyDescent="0.3">
      <c r="A532" s="1" t="s">
        <v>16</v>
      </c>
      <c r="B532" s="1" t="s">
        <v>159</v>
      </c>
      <c r="C532" s="1" t="s">
        <v>37</v>
      </c>
      <c r="D532" s="1" t="s">
        <v>164</v>
      </c>
      <c r="E532" s="1" t="s">
        <v>42</v>
      </c>
      <c r="F532" s="1">
        <v>51252</v>
      </c>
      <c r="G532" s="1" t="s">
        <v>1502</v>
      </c>
      <c r="H532" s="1" t="s">
        <v>1503</v>
      </c>
      <c r="I532" s="1" t="s">
        <v>356</v>
      </c>
      <c r="J532" s="1" t="s">
        <v>32</v>
      </c>
      <c r="K532" s="1" t="s">
        <v>205</v>
      </c>
      <c r="L532" s="2">
        <v>46661</v>
      </c>
      <c r="M532" s="4">
        <v>5900000</v>
      </c>
      <c r="N532" s="1" t="s">
        <v>23</v>
      </c>
      <c r="O532" s="3">
        <v>69</v>
      </c>
    </row>
    <row r="533" spans="1:16" x14ac:dyDescent="0.3">
      <c r="A533" s="1" t="s">
        <v>16</v>
      </c>
      <c r="B533" s="1" t="s">
        <v>159</v>
      </c>
      <c r="C533" s="1" t="s">
        <v>37</v>
      </c>
      <c r="D533" s="1" t="s">
        <v>164</v>
      </c>
      <c r="E533" s="1" t="s">
        <v>42</v>
      </c>
      <c r="F533" s="1">
        <v>51255</v>
      </c>
      <c r="G533" s="1" t="s">
        <v>1504</v>
      </c>
      <c r="H533" s="1" t="s">
        <v>1505</v>
      </c>
      <c r="I533" s="1" t="s">
        <v>356</v>
      </c>
      <c r="J533" s="1" t="s">
        <v>32</v>
      </c>
      <c r="K533" s="1" t="s">
        <v>205</v>
      </c>
      <c r="L533" s="2">
        <v>46872</v>
      </c>
      <c r="M533" s="4">
        <v>5000000</v>
      </c>
      <c r="N533" s="1" t="s">
        <v>23</v>
      </c>
      <c r="O533" s="3">
        <v>138</v>
      </c>
    </row>
    <row r="534" spans="1:16" x14ac:dyDescent="0.3">
      <c r="A534" s="1" t="s">
        <v>16</v>
      </c>
      <c r="B534" s="1" t="s">
        <v>159</v>
      </c>
      <c r="C534" s="1" t="s">
        <v>1396</v>
      </c>
      <c r="D534" s="1" t="s">
        <v>163</v>
      </c>
      <c r="E534" s="1" t="s">
        <v>350</v>
      </c>
      <c r="F534" s="1">
        <v>51256</v>
      </c>
      <c r="G534" s="1" t="s">
        <v>1506</v>
      </c>
      <c r="H534" s="1" t="s">
        <v>1507</v>
      </c>
      <c r="I534" s="1" t="s">
        <v>1508</v>
      </c>
      <c r="J534" s="1" t="s">
        <v>32</v>
      </c>
      <c r="K534" s="1" t="s">
        <v>46</v>
      </c>
      <c r="L534" s="2">
        <v>46539</v>
      </c>
      <c r="M534" s="4">
        <v>29570000</v>
      </c>
      <c r="N534" s="1" t="s">
        <v>50</v>
      </c>
      <c r="O534" s="3">
        <v>230</v>
      </c>
      <c r="P534" s="3">
        <v>230</v>
      </c>
    </row>
    <row r="535" spans="1:16" x14ac:dyDescent="0.3">
      <c r="A535" s="1" t="s">
        <v>16</v>
      </c>
      <c r="B535" s="1" t="s">
        <v>159</v>
      </c>
      <c r="C535" s="1" t="s">
        <v>452</v>
      </c>
      <c r="D535" s="1" t="s">
        <v>164</v>
      </c>
      <c r="E535" s="1" t="s">
        <v>367</v>
      </c>
      <c r="F535" s="1">
        <v>51259</v>
      </c>
      <c r="G535" s="1" t="s">
        <v>1509</v>
      </c>
      <c r="H535" s="1" t="s">
        <v>1510</v>
      </c>
      <c r="I535" s="1" t="s">
        <v>1511</v>
      </c>
      <c r="J535" s="1" t="s">
        <v>32</v>
      </c>
      <c r="K535" s="1" t="s">
        <v>205</v>
      </c>
      <c r="L535" s="2">
        <v>47119</v>
      </c>
      <c r="M535" s="4">
        <v>15671068</v>
      </c>
      <c r="N535" s="1" t="s">
        <v>23</v>
      </c>
      <c r="O535" s="3">
        <v>345</v>
      </c>
      <c r="P535" s="3">
        <v>345</v>
      </c>
    </row>
    <row r="536" spans="1:16" x14ac:dyDescent="0.3">
      <c r="A536" s="1" t="s">
        <v>16</v>
      </c>
      <c r="B536" s="1" t="s">
        <v>159</v>
      </c>
      <c r="C536" s="1" t="s">
        <v>349</v>
      </c>
      <c r="D536" s="1" t="s">
        <v>163</v>
      </c>
      <c r="E536" s="1" t="s">
        <v>350</v>
      </c>
      <c r="F536" s="1">
        <v>51262</v>
      </c>
      <c r="G536" s="1" t="s">
        <v>1512</v>
      </c>
      <c r="H536" s="1" t="s">
        <v>1513</v>
      </c>
      <c r="I536" s="1" t="s">
        <v>1514</v>
      </c>
      <c r="J536" s="1" t="s">
        <v>32</v>
      </c>
      <c r="K536" s="1" t="s">
        <v>205</v>
      </c>
      <c r="L536" s="2">
        <v>47696</v>
      </c>
      <c r="M536" s="4">
        <v>1100000001</v>
      </c>
      <c r="N536" s="1" t="s">
        <v>23</v>
      </c>
      <c r="O536" s="3">
        <v>500</v>
      </c>
    </row>
    <row r="537" spans="1:16" x14ac:dyDescent="0.3">
      <c r="A537" s="1" t="s">
        <v>16</v>
      </c>
      <c r="B537" s="1" t="s">
        <v>159</v>
      </c>
      <c r="C537" s="1" t="s">
        <v>349</v>
      </c>
      <c r="D537" s="1" t="s">
        <v>163</v>
      </c>
      <c r="E537" s="1" t="s">
        <v>350</v>
      </c>
      <c r="F537" s="1">
        <v>51263</v>
      </c>
      <c r="G537" s="1" t="s">
        <v>1515</v>
      </c>
      <c r="H537" s="1" t="s">
        <v>1516</v>
      </c>
      <c r="I537" s="1" t="s">
        <v>1517</v>
      </c>
      <c r="J537" s="1" t="s">
        <v>32</v>
      </c>
      <c r="K537" s="1" t="s">
        <v>46</v>
      </c>
      <c r="L537" s="2">
        <v>48183</v>
      </c>
      <c r="M537" s="4">
        <v>1487000001</v>
      </c>
      <c r="N537" s="1" t="s">
        <v>23</v>
      </c>
      <c r="O537" s="3">
        <v>500</v>
      </c>
    </row>
    <row r="538" spans="1:16" x14ac:dyDescent="0.3">
      <c r="A538" s="1" t="s">
        <v>16</v>
      </c>
      <c r="B538" s="1" t="s">
        <v>159</v>
      </c>
      <c r="C538" s="1" t="s">
        <v>349</v>
      </c>
      <c r="D538" s="1" t="s">
        <v>163</v>
      </c>
      <c r="E538" s="1" t="s">
        <v>1518</v>
      </c>
      <c r="F538" s="1">
        <v>51264</v>
      </c>
      <c r="G538" s="1" t="s">
        <v>1519</v>
      </c>
      <c r="H538" s="1" t="s">
        <v>1520</v>
      </c>
      <c r="I538" s="1" t="s">
        <v>1521</v>
      </c>
      <c r="J538" s="1" t="s">
        <v>22</v>
      </c>
      <c r="L538" s="2">
        <v>47849</v>
      </c>
      <c r="M538" s="4">
        <v>900000001</v>
      </c>
      <c r="N538" s="1" t="s">
        <v>23</v>
      </c>
      <c r="O538" s="3">
        <v>500</v>
      </c>
      <c r="P538" s="3">
        <v>230</v>
      </c>
    </row>
    <row r="539" spans="1:16" x14ac:dyDescent="0.3">
      <c r="A539" s="1" t="s">
        <v>16</v>
      </c>
      <c r="B539" s="1" t="s">
        <v>159</v>
      </c>
      <c r="C539" s="1" t="s">
        <v>64</v>
      </c>
      <c r="D539" s="1" t="s">
        <v>161</v>
      </c>
      <c r="E539" s="1" t="s">
        <v>65</v>
      </c>
      <c r="F539" s="1">
        <v>51275</v>
      </c>
      <c r="G539" s="1" t="s">
        <v>1522</v>
      </c>
      <c r="H539" s="1" t="s">
        <v>1523</v>
      </c>
      <c r="I539" s="1" t="s">
        <v>449</v>
      </c>
      <c r="J539" s="1" t="s">
        <v>101</v>
      </c>
      <c r="L539" s="2">
        <v>46905</v>
      </c>
      <c r="M539" s="4">
        <v>590000</v>
      </c>
      <c r="N539" s="1" t="s">
        <v>23</v>
      </c>
      <c r="O539" s="3">
        <v>138</v>
      </c>
    </row>
    <row r="540" spans="1:16" x14ac:dyDescent="0.3">
      <c r="A540" s="1" t="s">
        <v>16</v>
      </c>
      <c r="B540" s="1" t="s">
        <v>159</v>
      </c>
      <c r="C540" s="1" t="s">
        <v>64</v>
      </c>
      <c r="D540" s="1" t="s">
        <v>161</v>
      </c>
      <c r="E540" s="1" t="s">
        <v>65</v>
      </c>
      <c r="F540" s="1">
        <v>51284</v>
      </c>
      <c r="G540" s="1" t="s">
        <v>1524</v>
      </c>
      <c r="H540" s="1" t="s">
        <v>1525</v>
      </c>
      <c r="I540" s="1" t="s">
        <v>449</v>
      </c>
      <c r="J540" s="1" t="s">
        <v>101</v>
      </c>
      <c r="L540" s="2">
        <v>47088</v>
      </c>
      <c r="M540" s="4">
        <v>1757000</v>
      </c>
      <c r="N540" s="1" t="s">
        <v>23</v>
      </c>
      <c r="O540" s="3">
        <v>345</v>
      </c>
    </row>
    <row r="541" spans="1:16" x14ac:dyDescent="0.3">
      <c r="A541" s="1" t="s">
        <v>16</v>
      </c>
      <c r="B541" s="1" t="s">
        <v>159</v>
      </c>
      <c r="C541" s="1" t="s">
        <v>172</v>
      </c>
      <c r="D541" s="1" t="s">
        <v>164</v>
      </c>
      <c r="E541" s="1" t="s">
        <v>117</v>
      </c>
      <c r="F541" s="1">
        <v>51293</v>
      </c>
      <c r="G541" s="1" t="s">
        <v>1526</v>
      </c>
      <c r="H541" s="1" t="s">
        <v>1527</v>
      </c>
      <c r="J541" s="1" t="s">
        <v>32</v>
      </c>
      <c r="K541" s="1" t="s">
        <v>205</v>
      </c>
      <c r="L541" s="2">
        <v>47484</v>
      </c>
      <c r="M541" s="4">
        <v>107250000</v>
      </c>
      <c r="N541" s="1" t="s">
        <v>50</v>
      </c>
      <c r="O541" s="3">
        <v>345</v>
      </c>
      <c r="P541" s="3">
        <v>35</v>
      </c>
    </row>
    <row r="542" spans="1:16" x14ac:dyDescent="0.3">
      <c r="A542" s="1" t="s">
        <v>16</v>
      </c>
      <c r="B542" s="1" t="s">
        <v>159</v>
      </c>
      <c r="C542" s="1" t="s">
        <v>384</v>
      </c>
      <c r="D542" s="1" t="s">
        <v>161</v>
      </c>
      <c r="E542" s="1" t="s">
        <v>73</v>
      </c>
      <c r="F542" s="1">
        <v>51296</v>
      </c>
      <c r="G542" s="1" t="s">
        <v>1528</v>
      </c>
      <c r="H542" s="1" t="s">
        <v>1529</v>
      </c>
      <c r="I542" s="1" t="s">
        <v>100</v>
      </c>
      <c r="J542" s="1" t="s">
        <v>101</v>
      </c>
      <c r="L542" s="2">
        <v>47453</v>
      </c>
      <c r="M542" s="4">
        <v>15000000</v>
      </c>
      <c r="N542" s="1" t="s">
        <v>23</v>
      </c>
      <c r="O542" s="3">
        <v>345</v>
      </c>
    </row>
    <row r="543" spans="1:16" x14ac:dyDescent="0.3">
      <c r="A543" s="1" t="s">
        <v>16</v>
      </c>
      <c r="B543" s="1" t="s">
        <v>159</v>
      </c>
      <c r="C543" s="1" t="s">
        <v>837</v>
      </c>
      <c r="D543" s="1" t="s">
        <v>163</v>
      </c>
      <c r="E543" s="1" t="s">
        <v>130</v>
      </c>
      <c r="F543" s="1">
        <v>51298</v>
      </c>
      <c r="G543" s="1" t="s">
        <v>1530</v>
      </c>
      <c r="H543" s="1" t="s">
        <v>1531</v>
      </c>
      <c r="J543" s="1" t="s">
        <v>32</v>
      </c>
      <c r="K543" s="1" t="s">
        <v>205</v>
      </c>
      <c r="L543" s="2">
        <v>46539</v>
      </c>
      <c r="M543" s="4">
        <v>27900000</v>
      </c>
      <c r="N543" s="1" t="s">
        <v>23</v>
      </c>
      <c r="O543" s="3">
        <v>230</v>
      </c>
    </row>
    <row r="544" spans="1:16" x14ac:dyDescent="0.3">
      <c r="A544" s="1" t="s">
        <v>16</v>
      </c>
      <c r="B544" s="1" t="s">
        <v>159</v>
      </c>
      <c r="C544" s="1" t="s">
        <v>837</v>
      </c>
      <c r="D544" s="1" t="s">
        <v>163</v>
      </c>
      <c r="E544" s="1" t="s">
        <v>130</v>
      </c>
      <c r="F544" s="1">
        <v>51299</v>
      </c>
      <c r="G544" s="1" t="s">
        <v>1532</v>
      </c>
      <c r="H544" s="1" t="s">
        <v>1533</v>
      </c>
      <c r="J544" s="1" t="s">
        <v>32</v>
      </c>
      <c r="K544" s="1" t="s">
        <v>205</v>
      </c>
      <c r="L544" s="2">
        <v>46387</v>
      </c>
      <c r="M544" s="4">
        <v>91900000</v>
      </c>
      <c r="N544" s="1" t="s">
        <v>23</v>
      </c>
      <c r="O544" s="3">
        <v>230</v>
      </c>
    </row>
    <row r="545" spans="1:16" x14ac:dyDescent="0.3">
      <c r="A545" s="1" t="s">
        <v>16</v>
      </c>
      <c r="B545" s="1" t="s">
        <v>159</v>
      </c>
      <c r="C545" s="1" t="s">
        <v>1534</v>
      </c>
      <c r="D545" s="1" t="s">
        <v>164</v>
      </c>
      <c r="E545" s="1" t="s">
        <v>56</v>
      </c>
      <c r="F545" s="1">
        <v>51300</v>
      </c>
      <c r="G545" s="1" t="s">
        <v>1535</v>
      </c>
      <c r="H545" s="1" t="s">
        <v>1536</v>
      </c>
      <c r="I545" s="1" t="s">
        <v>1537</v>
      </c>
      <c r="J545" s="1" t="s">
        <v>32</v>
      </c>
      <c r="K545" s="1" t="s">
        <v>205</v>
      </c>
      <c r="L545" s="2">
        <v>46721</v>
      </c>
      <c r="M545" s="4">
        <v>28120000</v>
      </c>
      <c r="N545" s="1" t="s">
        <v>23</v>
      </c>
      <c r="O545" s="3">
        <v>161</v>
      </c>
      <c r="P545" s="3">
        <v>69</v>
      </c>
    </row>
    <row r="546" spans="1:16" x14ac:dyDescent="0.3">
      <c r="A546" s="1" t="s">
        <v>16</v>
      </c>
      <c r="B546" s="1" t="s">
        <v>159</v>
      </c>
      <c r="C546" s="1" t="s">
        <v>349</v>
      </c>
      <c r="D546" s="1" t="s">
        <v>163</v>
      </c>
      <c r="E546" s="1" t="s">
        <v>350</v>
      </c>
      <c r="F546" s="1">
        <v>51301</v>
      </c>
      <c r="G546" s="1" t="s">
        <v>1538</v>
      </c>
      <c r="H546" s="1" t="s">
        <v>1539</v>
      </c>
      <c r="I546" s="1" t="s">
        <v>1540</v>
      </c>
      <c r="J546" s="1" t="s">
        <v>32</v>
      </c>
      <c r="K546" s="1" t="s">
        <v>82</v>
      </c>
      <c r="L546" s="2">
        <v>46295</v>
      </c>
      <c r="M546" s="4">
        <v>1</v>
      </c>
      <c r="N546" s="1" t="s">
        <v>50</v>
      </c>
      <c r="O546" s="3">
        <v>230</v>
      </c>
    </row>
    <row r="547" spans="1:16" x14ac:dyDescent="0.3">
      <c r="A547" s="1" t="s">
        <v>16</v>
      </c>
      <c r="B547" s="1" t="s">
        <v>159</v>
      </c>
      <c r="C547" s="1" t="s">
        <v>72</v>
      </c>
      <c r="D547" s="1" t="s">
        <v>161</v>
      </c>
      <c r="E547" s="1" t="s">
        <v>73</v>
      </c>
      <c r="F547" s="1">
        <v>51302</v>
      </c>
      <c r="G547" s="1" t="s">
        <v>1541</v>
      </c>
      <c r="H547" s="1" t="s">
        <v>1542</v>
      </c>
      <c r="I547" s="1" t="s">
        <v>449</v>
      </c>
      <c r="J547" s="1" t="s">
        <v>101</v>
      </c>
      <c r="L547" s="2">
        <v>46722</v>
      </c>
      <c r="M547" s="4">
        <v>10629000</v>
      </c>
      <c r="N547" s="1" t="s">
        <v>23</v>
      </c>
      <c r="O547" s="3">
        <v>161</v>
      </c>
    </row>
    <row r="548" spans="1:16" x14ac:dyDescent="0.3">
      <c r="A548" s="1" t="s">
        <v>16</v>
      </c>
      <c r="B548" s="1" t="s">
        <v>159</v>
      </c>
      <c r="C548" s="1" t="s">
        <v>384</v>
      </c>
      <c r="D548" s="1" t="s">
        <v>161</v>
      </c>
      <c r="E548" s="1" t="s">
        <v>65</v>
      </c>
      <c r="F548" s="1">
        <v>51303</v>
      </c>
      <c r="G548" s="1" t="s">
        <v>1543</v>
      </c>
      <c r="H548" s="1" t="s">
        <v>1544</v>
      </c>
      <c r="I548" s="1" t="s">
        <v>387</v>
      </c>
      <c r="J548" s="1" t="s">
        <v>32</v>
      </c>
      <c r="K548" s="1" t="s">
        <v>205</v>
      </c>
      <c r="L548" s="2">
        <v>47088</v>
      </c>
      <c r="M548" s="4">
        <v>18632500</v>
      </c>
      <c r="N548" s="1" t="s">
        <v>50</v>
      </c>
      <c r="O548" s="3">
        <v>345</v>
      </c>
    </row>
    <row r="549" spans="1:16" x14ac:dyDescent="0.3">
      <c r="A549" s="1" t="s">
        <v>16</v>
      </c>
      <c r="B549" s="1" t="s">
        <v>159</v>
      </c>
      <c r="C549" s="1" t="s">
        <v>384</v>
      </c>
      <c r="D549" s="1" t="s">
        <v>161</v>
      </c>
      <c r="E549" s="1" t="s">
        <v>65</v>
      </c>
      <c r="F549" s="1">
        <v>51304</v>
      </c>
      <c r="G549" s="1" t="s">
        <v>1545</v>
      </c>
      <c r="H549" s="1" t="s">
        <v>1546</v>
      </c>
      <c r="I549" s="1" t="s">
        <v>387</v>
      </c>
      <c r="J549" s="1" t="s">
        <v>32</v>
      </c>
      <c r="K549" s="1" t="s">
        <v>205</v>
      </c>
      <c r="L549" s="2">
        <v>47818</v>
      </c>
      <c r="M549" s="4">
        <v>387530000</v>
      </c>
      <c r="N549" s="1" t="s">
        <v>50</v>
      </c>
      <c r="O549" s="3">
        <v>345</v>
      </c>
    </row>
    <row r="550" spans="1:16" x14ac:dyDescent="0.3">
      <c r="A550" s="1" t="s">
        <v>16</v>
      </c>
      <c r="B550" s="1" t="s">
        <v>159</v>
      </c>
      <c r="C550" s="1" t="s">
        <v>37</v>
      </c>
      <c r="D550" s="1" t="s">
        <v>164</v>
      </c>
      <c r="E550" s="1" t="s">
        <v>42</v>
      </c>
      <c r="F550" s="1">
        <v>51305</v>
      </c>
      <c r="G550" s="1" t="s">
        <v>1547</v>
      </c>
      <c r="H550" s="1" t="s">
        <v>1548</v>
      </c>
      <c r="I550" s="1" t="s">
        <v>373</v>
      </c>
      <c r="J550" s="1" t="s">
        <v>101</v>
      </c>
      <c r="L550" s="2">
        <v>46752</v>
      </c>
      <c r="M550" s="4">
        <v>250000</v>
      </c>
      <c r="N550" s="1" t="s">
        <v>23</v>
      </c>
      <c r="O550" s="3">
        <v>138</v>
      </c>
    </row>
    <row r="551" spans="1:16" x14ac:dyDescent="0.3">
      <c r="A551" s="1" t="s">
        <v>16</v>
      </c>
      <c r="B551" s="1" t="s">
        <v>160</v>
      </c>
      <c r="C551" s="1" t="s">
        <v>17</v>
      </c>
      <c r="D551" s="1" t="s">
        <v>162</v>
      </c>
      <c r="E551" s="1" t="s">
        <v>18</v>
      </c>
      <c r="F551" s="1">
        <v>51306</v>
      </c>
      <c r="G551" s="1" t="s">
        <v>1549</v>
      </c>
      <c r="H551" s="1" t="s">
        <v>1550</v>
      </c>
      <c r="I551" s="1" t="s">
        <v>1551</v>
      </c>
      <c r="J551" s="1" t="s">
        <v>32</v>
      </c>
      <c r="K551" s="1" t="s">
        <v>205</v>
      </c>
      <c r="L551" s="2">
        <v>49675</v>
      </c>
      <c r="M551" s="4">
        <v>10800000</v>
      </c>
      <c r="N551" s="1" t="s">
        <v>23</v>
      </c>
      <c r="O551" s="3">
        <v>345</v>
      </c>
    </row>
    <row r="552" spans="1:16" x14ac:dyDescent="0.3">
      <c r="A552" s="1" t="s">
        <v>16</v>
      </c>
      <c r="B552" s="1" t="s">
        <v>159</v>
      </c>
      <c r="C552" s="1" t="s">
        <v>589</v>
      </c>
      <c r="D552" s="1" t="s">
        <v>161</v>
      </c>
      <c r="E552" s="1" t="s">
        <v>28</v>
      </c>
      <c r="F552" s="1">
        <v>51307</v>
      </c>
      <c r="G552" s="1" t="s">
        <v>1552</v>
      </c>
      <c r="H552" s="1" t="s">
        <v>1553</v>
      </c>
      <c r="I552" s="1" t="s">
        <v>1317</v>
      </c>
      <c r="J552" s="1" t="s">
        <v>32</v>
      </c>
      <c r="K552" s="1" t="s">
        <v>205</v>
      </c>
      <c r="L552" s="2">
        <v>46905</v>
      </c>
      <c r="M552" s="4">
        <v>35000000</v>
      </c>
      <c r="N552" s="1" t="s">
        <v>23</v>
      </c>
      <c r="O552" s="3">
        <v>345</v>
      </c>
    </row>
    <row r="553" spans="1:16" x14ac:dyDescent="0.3">
      <c r="A553" s="1" t="s">
        <v>16</v>
      </c>
      <c r="B553" s="1" t="s">
        <v>159</v>
      </c>
      <c r="C553" s="1" t="s">
        <v>589</v>
      </c>
      <c r="D553" s="1" t="s">
        <v>161</v>
      </c>
      <c r="E553" s="1" t="s">
        <v>28</v>
      </c>
      <c r="F553" s="1">
        <v>51308</v>
      </c>
      <c r="G553" s="1" t="s">
        <v>1554</v>
      </c>
      <c r="H553" s="1" t="s">
        <v>1555</v>
      </c>
      <c r="I553" s="1" t="s">
        <v>1556</v>
      </c>
      <c r="J553" s="1" t="s">
        <v>32</v>
      </c>
      <c r="K553" s="1" t="s">
        <v>205</v>
      </c>
      <c r="L553" s="2">
        <v>47635</v>
      </c>
      <c r="M553" s="4">
        <v>152100000</v>
      </c>
      <c r="N553" s="1" t="s">
        <v>23</v>
      </c>
      <c r="O553" s="3">
        <v>345</v>
      </c>
      <c r="P553" s="3">
        <v>69</v>
      </c>
    </row>
    <row r="554" spans="1:16" x14ac:dyDescent="0.3">
      <c r="A554" s="1" t="s">
        <v>16</v>
      </c>
      <c r="B554" s="1" t="s">
        <v>159</v>
      </c>
      <c r="C554" s="1" t="s">
        <v>589</v>
      </c>
      <c r="D554" s="1" t="s">
        <v>161</v>
      </c>
      <c r="E554" s="1" t="s">
        <v>28</v>
      </c>
      <c r="F554" s="1">
        <v>51309</v>
      </c>
      <c r="G554" s="1" t="s">
        <v>1557</v>
      </c>
      <c r="H554" s="1" t="s">
        <v>1558</v>
      </c>
      <c r="I554" s="1" t="s">
        <v>1559</v>
      </c>
      <c r="J554" s="1" t="s">
        <v>32</v>
      </c>
      <c r="K554" s="1" t="s">
        <v>46</v>
      </c>
      <c r="L554" s="2">
        <v>47027</v>
      </c>
      <c r="M554" s="4">
        <v>6000000</v>
      </c>
      <c r="N554" s="1" t="s">
        <v>23</v>
      </c>
      <c r="O554" s="3">
        <v>138</v>
      </c>
      <c r="P554" s="3">
        <v>12</v>
      </c>
    </row>
    <row r="555" spans="1:16" x14ac:dyDescent="0.3">
      <c r="A555" s="1" t="s">
        <v>16</v>
      </c>
      <c r="B555" s="1" t="s">
        <v>159</v>
      </c>
      <c r="C555" s="1" t="s">
        <v>349</v>
      </c>
      <c r="D555" s="1" t="s">
        <v>163</v>
      </c>
      <c r="E555" s="1" t="s">
        <v>350</v>
      </c>
      <c r="F555" s="1">
        <v>51311</v>
      </c>
      <c r="G555" s="1" t="s">
        <v>1560</v>
      </c>
      <c r="H555" s="1" t="s">
        <v>1561</v>
      </c>
      <c r="I555" s="1" t="s">
        <v>1562</v>
      </c>
      <c r="J555" s="1" t="s">
        <v>32</v>
      </c>
      <c r="K555" s="1" t="s">
        <v>205</v>
      </c>
      <c r="L555" s="2">
        <v>47208</v>
      </c>
      <c r="M555" s="4">
        <v>1</v>
      </c>
      <c r="N555" s="1" t="s">
        <v>23</v>
      </c>
      <c r="O555" s="3">
        <v>500</v>
      </c>
      <c r="P555" s="3">
        <v>230</v>
      </c>
    </row>
    <row r="556" spans="1:16" x14ac:dyDescent="0.3">
      <c r="A556" s="1" t="s">
        <v>16</v>
      </c>
      <c r="B556" s="1" t="s">
        <v>159</v>
      </c>
      <c r="C556" s="1" t="s">
        <v>357</v>
      </c>
      <c r="D556" s="1" t="s">
        <v>163</v>
      </c>
      <c r="E556" s="1" t="s">
        <v>358</v>
      </c>
      <c r="F556" s="1">
        <v>51312</v>
      </c>
      <c r="G556" s="1" t="s">
        <v>1563</v>
      </c>
      <c r="H556" s="1" t="s">
        <v>1564</v>
      </c>
      <c r="I556" s="1" t="s">
        <v>1565</v>
      </c>
      <c r="J556" s="1" t="s">
        <v>32</v>
      </c>
      <c r="K556" s="1" t="s">
        <v>205</v>
      </c>
      <c r="L556" s="2">
        <v>46843</v>
      </c>
      <c r="M556" s="4">
        <v>80000000</v>
      </c>
      <c r="N556" s="1" t="s">
        <v>23</v>
      </c>
      <c r="O556" s="3">
        <v>500</v>
      </c>
    </row>
    <row r="557" spans="1:16" x14ac:dyDescent="0.3">
      <c r="A557" s="1" t="s">
        <v>16</v>
      </c>
      <c r="B557" s="1" t="s">
        <v>159</v>
      </c>
      <c r="C557" s="1" t="s">
        <v>384</v>
      </c>
      <c r="D557" s="1" t="s">
        <v>161</v>
      </c>
      <c r="E557" s="1" t="s">
        <v>65</v>
      </c>
      <c r="F557" s="1">
        <v>51313</v>
      </c>
      <c r="G557" s="1" t="s">
        <v>1566</v>
      </c>
      <c r="H557" s="1" t="s">
        <v>1567</v>
      </c>
      <c r="I557" s="1" t="s">
        <v>387</v>
      </c>
      <c r="J557" s="1" t="s">
        <v>32</v>
      </c>
      <c r="K557" s="1" t="s">
        <v>205</v>
      </c>
      <c r="L557" s="2">
        <v>46722</v>
      </c>
      <c r="M557" s="4">
        <v>2000000</v>
      </c>
      <c r="N557" s="1" t="s">
        <v>50</v>
      </c>
      <c r="O557" s="3">
        <v>345</v>
      </c>
    </row>
    <row r="558" spans="1:16" x14ac:dyDescent="0.3">
      <c r="A558" s="1" t="s">
        <v>16</v>
      </c>
      <c r="B558" s="1" t="s">
        <v>159</v>
      </c>
      <c r="C558" s="1" t="s">
        <v>37</v>
      </c>
      <c r="D558" s="1" t="s">
        <v>164</v>
      </c>
      <c r="E558" s="1" t="s">
        <v>42</v>
      </c>
      <c r="F558" s="1">
        <v>51316</v>
      </c>
      <c r="G558" s="1" t="s">
        <v>1568</v>
      </c>
      <c r="H558" s="1" t="s">
        <v>1569</v>
      </c>
      <c r="I558" s="1" t="s">
        <v>1263</v>
      </c>
      <c r="J558" s="1" t="s">
        <v>32</v>
      </c>
      <c r="K558" s="1" t="s">
        <v>46</v>
      </c>
      <c r="L558" s="2">
        <v>47635</v>
      </c>
      <c r="M558" s="4">
        <v>29798000</v>
      </c>
      <c r="N558" s="1" t="s">
        <v>23</v>
      </c>
      <c r="O558" s="3">
        <v>69</v>
      </c>
    </row>
    <row r="559" spans="1:16" x14ac:dyDescent="0.3">
      <c r="A559" s="1" t="s">
        <v>16</v>
      </c>
      <c r="B559" s="1" t="s">
        <v>160</v>
      </c>
      <c r="C559" s="1" t="s">
        <v>64</v>
      </c>
      <c r="D559" s="1" t="s">
        <v>161</v>
      </c>
      <c r="E559" s="1" t="s">
        <v>65</v>
      </c>
      <c r="F559" s="1">
        <v>51318</v>
      </c>
      <c r="G559" s="1" t="s">
        <v>1570</v>
      </c>
      <c r="H559" s="1" t="s">
        <v>1571</v>
      </c>
      <c r="I559" s="1" t="s">
        <v>76</v>
      </c>
      <c r="J559" s="1" t="s">
        <v>22</v>
      </c>
      <c r="L559" s="2">
        <v>47818</v>
      </c>
      <c r="M559" s="4">
        <v>63000000</v>
      </c>
      <c r="N559" s="1" t="s">
        <v>23</v>
      </c>
      <c r="O559" s="3">
        <v>138</v>
      </c>
    </row>
    <row r="560" spans="1:16" x14ac:dyDescent="0.3">
      <c r="A560" s="1" t="s">
        <v>16</v>
      </c>
      <c r="B560" s="1" t="s">
        <v>159</v>
      </c>
      <c r="C560" s="1" t="s">
        <v>1495</v>
      </c>
      <c r="D560" s="1" t="s">
        <v>164</v>
      </c>
      <c r="E560" s="1" t="s">
        <v>56</v>
      </c>
      <c r="F560" s="1">
        <v>51319</v>
      </c>
      <c r="G560" s="1" t="s">
        <v>1572</v>
      </c>
      <c r="H560" s="1" t="s">
        <v>1573</v>
      </c>
      <c r="I560" s="1" t="s">
        <v>76</v>
      </c>
      <c r="J560" s="1" t="s">
        <v>32</v>
      </c>
      <c r="K560" s="1" t="s">
        <v>33</v>
      </c>
      <c r="L560" s="2">
        <v>46204</v>
      </c>
      <c r="M560" s="4">
        <v>4950000</v>
      </c>
      <c r="N560" s="1" t="s">
        <v>23</v>
      </c>
      <c r="O560" s="3">
        <v>69</v>
      </c>
    </row>
    <row r="561" spans="1:16" x14ac:dyDescent="0.3">
      <c r="A561" s="1" t="s">
        <v>16</v>
      </c>
      <c r="B561" s="1" t="s">
        <v>159</v>
      </c>
      <c r="C561" s="1" t="s">
        <v>64</v>
      </c>
      <c r="D561" s="1" t="s">
        <v>161</v>
      </c>
      <c r="E561" s="1" t="s">
        <v>65</v>
      </c>
      <c r="F561" s="1">
        <v>51320</v>
      </c>
      <c r="G561" s="1" t="s">
        <v>1574</v>
      </c>
      <c r="H561" s="1" t="s">
        <v>1575</v>
      </c>
      <c r="I561" s="1" t="s">
        <v>1576</v>
      </c>
      <c r="J561" s="1" t="s">
        <v>32</v>
      </c>
      <c r="K561" s="1" t="s">
        <v>205</v>
      </c>
      <c r="L561" s="2">
        <v>47270</v>
      </c>
      <c r="M561" s="4">
        <v>1500000</v>
      </c>
      <c r="N561" s="1" t="s">
        <v>23</v>
      </c>
      <c r="O561" s="3">
        <v>345</v>
      </c>
    </row>
    <row r="562" spans="1:16" x14ac:dyDescent="0.3">
      <c r="A562" s="1" t="s">
        <v>16</v>
      </c>
      <c r="B562" s="1" t="s">
        <v>159</v>
      </c>
      <c r="C562" s="1" t="s">
        <v>72</v>
      </c>
      <c r="D562" s="1" t="s">
        <v>161</v>
      </c>
      <c r="E562" s="1" t="s">
        <v>73</v>
      </c>
      <c r="F562" s="1">
        <v>51321</v>
      </c>
      <c r="G562" s="1" t="s">
        <v>1577</v>
      </c>
      <c r="H562" s="1" t="s">
        <v>1578</v>
      </c>
      <c r="I562" s="1" t="s">
        <v>1579</v>
      </c>
      <c r="J562" s="1" t="s">
        <v>32</v>
      </c>
      <c r="K562" s="1" t="s">
        <v>46</v>
      </c>
      <c r="L562" s="2">
        <v>47818</v>
      </c>
      <c r="M562" s="4">
        <v>40000000</v>
      </c>
      <c r="N562" s="1" t="s">
        <v>23</v>
      </c>
      <c r="O562" s="3">
        <v>161</v>
      </c>
    </row>
    <row r="563" spans="1:16" x14ac:dyDescent="0.3">
      <c r="A563" s="1" t="s">
        <v>16</v>
      </c>
      <c r="B563" s="1" t="s">
        <v>159</v>
      </c>
      <c r="C563" s="1" t="s">
        <v>1495</v>
      </c>
      <c r="D563" s="1" t="s">
        <v>164</v>
      </c>
      <c r="E563" s="1" t="s">
        <v>117</v>
      </c>
      <c r="F563" s="1">
        <v>51322</v>
      </c>
      <c r="G563" s="1" t="s">
        <v>1580</v>
      </c>
      <c r="H563" s="1" t="s">
        <v>1581</v>
      </c>
      <c r="J563" s="1" t="s">
        <v>32</v>
      </c>
      <c r="K563" s="1" t="s">
        <v>82</v>
      </c>
      <c r="L563" s="2">
        <v>46387</v>
      </c>
      <c r="M563" s="4">
        <v>5810000</v>
      </c>
      <c r="N563" s="1" t="s">
        <v>1128</v>
      </c>
      <c r="O563" s="3">
        <v>69</v>
      </c>
      <c r="P563" s="3">
        <v>13</v>
      </c>
    </row>
    <row r="564" spans="1:16" x14ac:dyDescent="0.3">
      <c r="A564" s="1" t="s">
        <v>16</v>
      </c>
      <c r="B564" s="1" t="s">
        <v>159</v>
      </c>
      <c r="C564" s="1" t="s">
        <v>72</v>
      </c>
      <c r="D564" s="1" t="s">
        <v>161</v>
      </c>
      <c r="E564" s="1" t="s">
        <v>73</v>
      </c>
      <c r="F564" s="1">
        <v>51323</v>
      </c>
      <c r="G564" s="1" t="s">
        <v>1582</v>
      </c>
      <c r="H564" s="1" t="s">
        <v>1583</v>
      </c>
      <c r="I564" s="1" t="s">
        <v>1576</v>
      </c>
      <c r="J564" s="1" t="s">
        <v>32</v>
      </c>
      <c r="K564" s="1" t="s">
        <v>205</v>
      </c>
      <c r="L564" s="2">
        <v>46905</v>
      </c>
      <c r="M564" s="4">
        <v>3000000</v>
      </c>
      <c r="N564" s="1" t="s">
        <v>23</v>
      </c>
      <c r="O564" s="3">
        <v>345</v>
      </c>
    </row>
    <row r="565" spans="1:16" x14ac:dyDescent="0.3">
      <c r="A565" s="1" t="s">
        <v>16</v>
      </c>
      <c r="B565" s="1" t="s">
        <v>159</v>
      </c>
      <c r="C565" s="1" t="s">
        <v>1495</v>
      </c>
      <c r="D565" s="1" t="s">
        <v>164</v>
      </c>
      <c r="E565" s="1" t="s">
        <v>117</v>
      </c>
      <c r="F565" s="1">
        <v>51324</v>
      </c>
      <c r="G565" s="1" t="s">
        <v>1584</v>
      </c>
      <c r="H565" s="1" t="s">
        <v>1585</v>
      </c>
      <c r="I565" s="1" t="s">
        <v>1586</v>
      </c>
      <c r="J565" s="1" t="s">
        <v>101</v>
      </c>
      <c r="L565" s="2">
        <v>46661</v>
      </c>
      <c r="M565" s="4">
        <v>9120000</v>
      </c>
      <c r="N565" s="1" t="s">
        <v>23</v>
      </c>
      <c r="O565" s="3">
        <v>230</v>
      </c>
    </row>
    <row r="566" spans="1:16" x14ac:dyDescent="0.3">
      <c r="A566" s="1" t="s">
        <v>16</v>
      </c>
      <c r="B566" s="1" t="s">
        <v>159</v>
      </c>
      <c r="C566" s="1" t="s">
        <v>380</v>
      </c>
      <c r="D566" s="1" t="s">
        <v>161</v>
      </c>
      <c r="E566" s="1" t="s">
        <v>73</v>
      </c>
      <c r="F566" s="1">
        <v>51325</v>
      </c>
      <c r="G566" s="1" t="s">
        <v>1587</v>
      </c>
      <c r="H566" s="1" t="s">
        <v>1588</v>
      </c>
      <c r="I566" s="1" t="s">
        <v>1589</v>
      </c>
      <c r="J566" s="1" t="s">
        <v>32</v>
      </c>
      <c r="K566" s="1" t="s">
        <v>46</v>
      </c>
      <c r="L566" s="2">
        <v>46752</v>
      </c>
      <c r="M566" s="4">
        <v>44520000</v>
      </c>
      <c r="N566" s="1" t="s">
        <v>23</v>
      </c>
      <c r="O566" s="3">
        <v>69</v>
      </c>
      <c r="P566" s="3">
        <v>69</v>
      </c>
    </row>
    <row r="567" spans="1:16" x14ac:dyDescent="0.3">
      <c r="A567" s="1" t="s">
        <v>16</v>
      </c>
      <c r="B567" s="1" t="s">
        <v>159</v>
      </c>
      <c r="C567" s="1" t="s">
        <v>349</v>
      </c>
      <c r="D567" s="1" t="s">
        <v>163</v>
      </c>
      <c r="E567" s="1" t="s">
        <v>350</v>
      </c>
      <c r="F567" s="1">
        <v>51327</v>
      </c>
      <c r="G567" s="1" t="s">
        <v>1590</v>
      </c>
      <c r="H567" s="1" t="s">
        <v>1591</v>
      </c>
      <c r="I567" s="1" t="s">
        <v>1592</v>
      </c>
      <c r="J567" s="1" t="s">
        <v>101</v>
      </c>
      <c r="L567" s="2">
        <v>46969</v>
      </c>
      <c r="M567" s="4">
        <v>17280000</v>
      </c>
      <c r="N567" s="1" t="s">
        <v>23</v>
      </c>
      <c r="O567" s="3">
        <v>500</v>
      </c>
    </row>
    <row r="568" spans="1:16" x14ac:dyDescent="0.3">
      <c r="A568" s="1" t="s">
        <v>16</v>
      </c>
      <c r="B568" s="1" t="s">
        <v>159</v>
      </c>
      <c r="C568" s="1" t="s">
        <v>349</v>
      </c>
      <c r="D568" s="1" t="s">
        <v>163</v>
      </c>
      <c r="E568" s="1" t="s">
        <v>417</v>
      </c>
      <c r="F568" s="1">
        <v>51329</v>
      </c>
      <c r="G568" s="1" t="s">
        <v>1593</v>
      </c>
      <c r="H568" s="1" t="s">
        <v>1594</v>
      </c>
      <c r="I568" s="1" t="s">
        <v>1595</v>
      </c>
      <c r="J568" s="1" t="s">
        <v>32</v>
      </c>
      <c r="K568" s="1" t="s">
        <v>205</v>
      </c>
      <c r="L568" s="2">
        <v>46722</v>
      </c>
      <c r="M568" s="4">
        <v>1</v>
      </c>
      <c r="N568" s="1" t="s">
        <v>23</v>
      </c>
      <c r="O568" s="3">
        <v>230</v>
      </c>
    </row>
    <row r="569" spans="1:16" x14ac:dyDescent="0.3">
      <c r="A569" s="1" t="s">
        <v>16</v>
      </c>
      <c r="B569" s="1" t="s">
        <v>159</v>
      </c>
      <c r="C569" s="1" t="s">
        <v>750</v>
      </c>
      <c r="D569" s="1" t="s">
        <v>163</v>
      </c>
      <c r="E569" s="1" t="s">
        <v>358</v>
      </c>
      <c r="F569" s="1">
        <v>51330</v>
      </c>
      <c r="G569" s="1" t="s">
        <v>1596</v>
      </c>
      <c r="H569" s="1" t="s">
        <v>1597</v>
      </c>
      <c r="I569" s="1" t="s">
        <v>1598</v>
      </c>
      <c r="J569" s="1" t="s">
        <v>101</v>
      </c>
      <c r="L569" s="2">
        <v>46357</v>
      </c>
      <c r="M569" s="4">
        <v>880000</v>
      </c>
      <c r="N569" s="1" t="s">
        <v>23</v>
      </c>
      <c r="O569" s="3">
        <v>115</v>
      </c>
    </row>
    <row r="570" spans="1:16" x14ac:dyDescent="0.3">
      <c r="A570" s="1" t="s">
        <v>16</v>
      </c>
      <c r="B570" s="1" t="s">
        <v>159</v>
      </c>
      <c r="C570" s="1" t="s">
        <v>366</v>
      </c>
      <c r="D570" s="1" t="s">
        <v>164</v>
      </c>
      <c r="E570" s="1" t="s">
        <v>367</v>
      </c>
      <c r="F570" s="1">
        <v>51331</v>
      </c>
      <c r="G570" s="1" t="s">
        <v>1599</v>
      </c>
      <c r="H570" s="1" t="s">
        <v>1600</v>
      </c>
      <c r="I570" s="1" t="s">
        <v>1601</v>
      </c>
      <c r="J570" s="1" t="s">
        <v>101</v>
      </c>
      <c r="L570" s="2">
        <v>47574</v>
      </c>
      <c r="M570" s="4">
        <v>8100000</v>
      </c>
      <c r="N570" s="1" t="s">
        <v>23</v>
      </c>
      <c r="O570" s="3">
        <v>345</v>
      </c>
    </row>
    <row r="571" spans="1:16" x14ac:dyDescent="0.3">
      <c r="A571" s="1" t="s">
        <v>16</v>
      </c>
      <c r="B571" s="1" t="s">
        <v>159</v>
      </c>
      <c r="C571" s="1" t="s">
        <v>329</v>
      </c>
      <c r="D571" s="1" t="s">
        <v>161</v>
      </c>
      <c r="E571" s="1" t="s">
        <v>28</v>
      </c>
      <c r="F571" s="1">
        <v>51333</v>
      </c>
      <c r="G571" s="1" t="s">
        <v>1602</v>
      </c>
      <c r="H571" s="1" t="s">
        <v>1603</v>
      </c>
      <c r="I571" s="1" t="s">
        <v>1604</v>
      </c>
      <c r="J571" s="1" t="s">
        <v>22</v>
      </c>
      <c r="L571" s="2">
        <v>47771</v>
      </c>
      <c r="M571" s="4">
        <v>50000000</v>
      </c>
      <c r="N571" s="1" t="s">
        <v>23</v>
      </c>
      <c r="O571" s="3">
        <v>345</v>
      </c>
    </row>
    <row r="572" spans="1:16" x14ac:dyDescent="0.3">
      <c r="A572" s="1" t="s">
        <v>16</v>
      </c>
      <c r="B572" s="1" t="s">
        <v>159</v>
      </c>
      <c r="C572" s="1" t="s">
        <v>589</v>
      </c>
      <c r="D572" s="1" t="s">
        <v>161</v>
      </c>
      <c r="E572" s="1" t="s">
        <v>28</v>
      </c>
      <c r="F572" s="1">
        <v>51335</v>
      </c>
      <c r="G572" s="1" t="s">
        <v>1605</v>
      </c>
      <c r="H572" s="1" t="s">
        <v>1606</v>
      </c>
      <c r="I572" s="1" t="s">
        <v>1607</v>
      </c>
      <c r="J572" s="1" t="s">
        <v>22</v>
      </c>
      <c r="L572" s="2">
        <v>46905</v>
      </c>
      <c r="M572" s="4">
        <v>0</v>
      </c>
      <c r="N572" s="1" t="s">
        <v>23</v>
      </c>
      <c r="O572" s="3">
        <v>345</v>
      </c>
    </row>
    <row r="573" spans="1:16" x14ac:dyDescent="0.3">
      <c r="A573" s="1" t="s">
        <v>16</v>
      </c>
      <c r="B573" s="1" t="s">
        <v>159</v>
      </c>
      <c r="C573" s="1" t="s">
        <v>329</v>
      </c>
      <c r="D573" s="1" t="s">
        <v>161</v>
      </c>
      <c r="E573" s="1" t="s">
        <v>28</v>
      </c>
      <c r="F573" s="1">
        <v>51336</v>
      </c>
      <c r="G573" s="1" t="s">
        <v>1608</v>
      </c>
      <c r="H573" s="1" t="s">
        <v>1609</v>
      </c>
      <c r="I573" s="1" t="s">
        <v>1610</v>
      </c>
      <c r="J573" s="1" t="s">
        <v>32</v>
      </c>
      <c r="K573" s="1" t="s">
        <v>46</v>
      </c>
      <c r="L573" s="2">
        <v>47771</v>
      </c>
      <c r="M573" s="4">
        <v>0</v>
      </c>
      <c r="N573" s="1" t="s">
        <v>23</v>
      </c>
      <c r="O573" s="3">
        <v>138</v>
      </c>
    </row>
    <row r="574" spans="1:16" x14ac:dyDescent="0.3">
      <c r="A574" s="1" t="s">
        <v>16</v>
      </c>
      <c r="B574" s="1" t="s">
        <v>159</v>
      </c>
      <c r="C574" s="1" t="s">
        <v>232</v>
      </c>
      <c r="D574" s="1" t="s">
        <v>161</v>
      </c>
      <c r="E574" s="1" t="s">
        <v>28</v>
      </c>
      <c r="F574" s="1">
        <v>51351</v>
      </c>
      <c r="G574" s="1" t="s">
        <v>1611</v>
      </c>
      <c r="H574" s="1" t="s">
        <v>1612</v>
      </c>
      <c r="I574" s="1" t="s">
        <v>1613</v>
      </c>
      <c r="J574" s="1" t="s">
        <v>22</v>
      </c>
      <c r="L574" s="2">
        <v>47635</v>
      </c>
      <c r="M574" s="4">
        <v>13400000</v>
      </c>
      <c r="N574" s="1" t="s">
        <v>23</v>
      </c>
      <c r="O574" s="3">
        <v>230</v>
      </c>
    </row>
    <row r="575" spans="1:16" x14ac:dyDescent="0.3">
      <c r="A575" s="1" t="s">
        <v>16</v>
      </c>
      <c r="B575" s="1" t="s">
        <v>159</v>
      </c>
      <c r="C575" s="1" t="s">
        <v>349</v>
      </c>
      <c r="D575" s="1" t="s">
        <v>163</v>
      </c>
      <c r="E575" s="1" t="s">
        <v>350</v>
      </c>
      <c r="F575" s="1">
        <v>51352</v>
      </c>
      <c r="G575" s="1" t="s">
        <v>1614</v>
      </c>
      <c r="H575" s="1" t="s">
        <v>1615</v>
      </c>
      <c r="I575" s="1" t="s">
        <v>1616</v>
      </c>
      <c r="J575" s="1" t="s">
        <v>32</v>
      </c>
      <c r="K575" s="1" t="s">
        <v>205</v>
      </c>
      <c r="L575" s="2">
        <v>46327</v>
      </c>
      <c r="M575" s="4">
        <v>28000000</v>
      </c>
      <c r="N575" s="1" t="s">
        <v>23</v>
      </c>
      <c r="O575" s="3">
        <v>230</v>
      </c>
    </row>
    <row r="576" spans="1:16" x14ac:dyDescent="0.3">
      <c r="A576" s="1" t="s">
        <v>16</v>
      </c>
      <c r="B576" s="1" t="s">
        <v>159</v>
      </c>
      <c r="C576" s="1" t="s">
        <v>366</v>
      </c>
      <c r="D576" s="1" t="s">
        <v>164</v>
      </c>
      <c r="E576" s="1" t="s">
        <v>367</v>
      </c>
      <c r="F576" s="1">
        <v>51353</v>
      </c>
      <c r="G576" s="1" t="s">
        <v>1617</v>
      </c>
      <c r="H576" s="1" t="s">
        <v>1618</v>
      </c>
      <c r="J576" s="1" t="s">
        <v>32</v>
      </c>
      <c r="K576" s="1" t="s">
        <v>33</v>
      </c>
      <c r="L576" s="2">
        <v>47300</v>
      </c>
      <c r="M576" s="4">
        <v>7900000</v>
      </c>
      <c r="N576" s="1" t="s">
        <v>23</v>
      </c>
      <c r="O576" s="3">
        <v>161</v>
      </c>
      <c r="P576" s="3">
        <v>69</v>
      </c>
    </row>
    <row r="577" spans="1:16" x14ac:dyDescent="0.3">
      <c r="A577" s="1" t="s">
        <v>16</v>
      </c>
      <c r="B577" s="1" t="s">
        <v>159</v>
      </c>
      <c r="C577" s="1" t="s">
        <v>329</v>
      </c>
      <c r="D577" s="1" t="s">
        <v>161</v>
      </c>
      <c r="E577" s="1" t="s">
        <v>28</v>
      </c>
      <c r="F577" s="1">
        <v>51360</v>
      </c>
      <c r="G577" s="1" t="s">
        <v>1619</v>
      </c>
      <c r="H577" s="1" t="s">
        <v>1620</v>
      </c>
      <c r="I577" s="1" t="s">
        <v>1621</v>
      </c>
      <c r="J577" s="1" t="s">
        <v>22</v>
      </c>
      <c r="L577" s="2">
        <v>46265</v>
      </c>
      <c r="M577" s="4">
        <v>900000</v>
      </c>
      <c r="N577" s="1" t="s">
        <v>23</v>
      </c>
      <c r="O577" s="3">
        <v>138</v>
      </c>
    </row>
    <row r="578" spans="1:16" x14ac:dyDescent="0.3">
      <c r="A578" s="1" t="s">
        <v>16</v>
      </c>
      <c r="B578" s="1" t="s">
        <v>159</v>
      </c>
      <c r="C578" s="1" t="s">
        <v>452</v>
      </c>
      <c r="D578" s="1" t="s">
        <v>164</v>
      </c>
      <c r="E578" s="1" t="s">
        <v>367</v>
      </c>
      <c r="F578" s="1">
        <v>51364</v>
      </c>
      <c r="G578" s="1" t="s">
        <v>1622</v>
      </c>
      <c r="H578" s="1" t="s">
        <v>1623</v>
      </c>
      <c r="I578" s="1" t="s">
        <v>1624</v>
      </c>
      <c r="J578" s="1" t="s">
        <v>32</v>
      </c>
      <c r="K578" s="1" t="s">
        <v>205</v>
      </c>
      <c r="L578" s="2">
        <v>46905</v>
      </c>
      <c r="M578" s="4">
        <v>45491462</v>
      </c>
      <c r="N578" s="1" t="s">
        <v>23</v>
      </c>
      <c r="O578" s="3">
        <v>345</v>
      </c>
    </row>
    <row r="579" spans="1:16" x14ac:dyDescent="0.3">
      <c r="A579" s="1" t="s">
        <v>16</v>
      </c>
      <c r="B579" s="1" t="s">
        <v>159</v>
      </c>
      <c r="C579" s="1" t="s">
        <v>51</v>
      </c>
      <c r="D579" s="1" t="s">
        <v>162</v>
      </c>
      <c r="E579" s="1" t="s">
        <v>18</v>
      </c>
      <c r="F579" s="1">
        <v>51365</v>
      </c>
      <c r="G579" s="1" t="s">
        <v>1625</v>
      </c>
      <c r="H579" s="1" t="s">
        <v>1626</v>
      </c>
      <c r="I579" s="1" t="s">
        <v>1627</v>
      </c>
      <c r="J579" s="1" t="s">
        <v>32</v>
      </c>
      <c r="K579" s="1" t="s">
        <v>82</v>
      </c>
      <c r="L579" s="2">
        <v>48044</v>
      </c>
      <c r="M579" s="4">
        <v>74280000</v>
      </c>
      <c r="N579" s="1" t="s">
        <v>23</v>
      </c>
      <c r="O579" s="3">
        <v>345</v>
      </c>
      <c r="P579" s="3">
        <v>138</v>
      </c>
    </row>
    <row r="580" spans="1:16" x14ac:dyDescent="0.3">
      <c r="A580" s="1" t="s">
        <v>16</v>
      </c>
      <c r="B580" s="1" t="s">
        <v>159</v>
      </c>
      <c r="C580" s="1" t="s">
        <v>41</v>
      </c>
      <c r="D580" s="1" t="s">
        <v>164</v>
      </c>
      <c r="E580" s="1" t="s">
        <v>56</v>
      </c>
      <c r="F580" s="1">
        <v>51366</v>
      </c>
      <c r="G580" s="1" t="s">
        <v>1628</v>
      </c>
      <c r="H580" s="1" t="s">
        <v>1629</v>
      </c>
      <c r="I580" s="1" t="s">
        <v>1630</v>
      </c>
      <c r="J580" s="1" t="s">
        <v>32</v>
      </c>
      <c r="K580" s="1" t="s">
        <v>205</v>
      </c>
      <c r="L580" s="2">
        <v>46905</v>
      </c>
      <c r="M580" s="4">
        <v>79328260</v>
      </c>
      <c r="N580" s="1" t="s">
        <v>23</v>
      </c>
      <c r="O580" s="3">
        <v>345</v>
      </c>
    </row>
    <row r="581" spans="1:16" x14ac:dyDescent="0.3">
      <c r="A581" s="1" t="s">
        <v>16</v>
      </c>
      <c r="B581" s="1" t="s">
        <v>159</v>
      </c>
      <c r="C581" s="1" t="s">
        <v>72</v>
      </c>
      <c r="D581" s="1" t="s">
        <v>161</v>
      </c>
      <c r="E581" s="1" t="s">
        <v>73</v>
      </c>
      <c r="F581" s="1">
        <v>51368</v>
      </c>
      <c r="G581" s="1" t="s">
        <v>1631</v>
      </c>
      <c r="H581" s="1" t="s">
        <v>1632</v>
      </c>
      <c r="I581" s="1" t="s">
        <v>1633</v>
      </c>
      <c r="J581" s="1" t="s">
        <v>32</v>
      </c>
      <c r="K581" s="1" t="s">
        <v>205</v>
      </c>
      <c r="L581" s="2">
        <v>47453</v>
      </c>
      <c r="M581" s="4">
        <v>13250000</v>
      </c>
      <c r="N581" s="1" t="s">
        <v>23</v>
      </c>
      <c r="O581" s="3">
        <v>345</v>
      </c>
    </row>
    <row r="582" spans="1:16" x14ac:dyDescent="0.3">
      <c r="A582" s="1" t="s">
        <v>16</v>
      </c>
      <c r="B582" s="1" t="s">
        <v>160</v>
      </c>
      <c r="C582" s="1" t="s">
        <v>172</v>
      </c>
      <c r="D582" s="1" t="s">
        <v>164</v>
      </c>
      <c r="E582" s="1" t="s">
        <v>117</v>
      </c>
      <c r="F582" s="1">
        <v>51404</v>
      </c>
      <c r="G582" s="1" t="s">
        <v>1634</v>
      </c>
      <c r="H582" s="1" t="s">
        <v>1635</v>
      </c>
      <c r="I582" s="1" t="s">
        <v>1636</v>
      </c>
      <c r="J582" s="1" t="s">
        <v>22</v>
      </c>
      <c r="L582" s="2">
        <v>46905</v>
      </c>
      <c r="M582" s="4">
        <v>1000000</v>
      </c>
      <c r="N582" s="1" t="s">
        <v>23</v>
      </c>
      <c r="O582" s="3">
        <v>345</v>
      </c>
    </row>
    <row r="583" spans="1:16" x14ac:dyDescent="0.3">
      <c r="A583" s="1" t="s">
        <v>16</v>
      </c>
      <c r="B583" s="1" t="s">
        <v>159</v>
      </c>
      <c r="C583" s="1" t="s">
        <v>491</v>
      </c>
      <c r="D583" s="1" t="s">
        <v>161</v>
      </c>
      <c r="E583" s="1" t="s">
        <v>65</v>
      </c>
      <c r="F583" s="1">
        <v>51405</v>
      </c>
      <c r="G583" s="1" t="s">
        <v>1637</v>
      </c>
      <c r="H583" s="1" t="s">
        <v>1638</v>
      </c>
      <c r="I583" s="1" t="s">
        <v>1639</v>
      </c>
      <c r="J583" s="1" t="s">
        <v>32</v>
      </c>
      <c r="K583" s="1" t="s">
        <v>46</v>
      </c>
      <c r="L583" s="2">
        <v>47818</v>
      </c>
      <c r="M583" s="4">
        <v>25000000</v>
      </c>
      <c r="N583" s="1" t="s">
        <v>50</v>
      </c>
      <c r="O583" s="3">
        <v>138</v>
      </c>
    </row>
    <row r="584" spans="1:16" x14ac:dyDescent="0.3">
      <c r="A584" s="1" t="s">
        <v>16</v>
      </c>
      <c r="B584" s="1" t="s">
        <v>159</v>
      </c>
      <c r="C584" s="1" t="s">
        <v>491</v>
      </c>
      <c r="D584" s="1" t="s">
        <v>161</v>
      </c>
      <c r="E584" s="1" t="s">
        <v>65</v>
      </c>
      <c r="F584" s="1">
        <v>51406</v>
      </c>
      <c r="G584" s="1" t="s">
        <v>1640</v>
      </c>
      <c r="H584" s="1" t="s">
        <v>1641</v>
      </c>
      <c r="I584" s="1" t="s">
        <v>1642</v>
      </c>
      <c r="J584" s="1" t="s">
        <v>32</v>
      </c>
      <c r="K584" s="1" t="s">
        <v>46</v>
      </c>
      <c r="L584" s="2">
        <v>47483</v>
      </c>
      <c r="M584" s="4">
        <v>2750000</v>
      </c>
      <c r="N584" s="1" t="s">
        <v>50</v>
      </c>
      <c r="O584" s="3">
        <v>138</v>
      </c>
    </row>
    <row r="585" spans="1:16" x14ac:dyDescent="0.3">
      <c r="A585" s="1" t="s">
        <v>16</v>
      </c>
      <c r="B585" s="1" t="s">
        <v>159</v>
      </c>
      <c r="C585" s="1" t="s">
        <v>837</v>
      </c>
      <c r="D585" s="1" t="s">
        <v>163</v>
      </c>
      <c r="E585" s="1" t="s">
        <v>130</v>
      </c>
      <c r="F585" s="1">
        <v>51407</v>
      </c>
      <c r="G585" s="1" t="s">
        <v>1643</v>
      </c>
      <c r="H585" s="1" t="s">
        <v>1644</v>
      </c>
      <c r="I585" s="1" t="s">
        <v>1645</v>
      </c>
      <c r="J585" s="1" t="s">
        <v>101</v>
      </c>
      <c r="L585" s="2">
        <v>46539</v>
      </c>
      <c r="M585" s="4">
        <v>5200000</v>
      </c>
      <c r="N585" s="1" t="s">
        <v>23</v>
      </c>
      <c r="O585" s="3">
        <v>115</v>
      </c>
    </row>
    <row r="586" spans="1:16" x14ac:dyDescent="0.3">
      <c r="A586" s="1" t="s">
        <v>16</v>
      </c>
      <c r="B586" s="1" t="s">
        <v>159</v>
      </c>
      <c r="C586" s="1" t="s">
        <v>37</v>
      </c>
      <c r="D586" s="1" t="s">
        <v>164</v>
      </c>
      <c r="E586" s="1" t="s">
        <v>42</v>
      </c>
      <c r="F586" s="1">
        <v>51414</v>
      </c>
      <c r="G586" s="1" t="s">
        <v>1646</v>
      </c>
      <c r="H586" s="1" t="s">
        <v>1647</v>
      </c>
      <c r="I586" s="1" t="s">
        <v>356</v>
      </c>
      <c r="J586" s="1" t="s">
        <v>32</v>
      </c>
      <c r="K586" s="1" t="s">
        <v>205</v>
      </c>
      <c r="L586" s="2">
        <v>47118</v>
      </c>
      <c r="M586" s="4">
        <v>13700000</v>
      </c>
      <c r="N586" s="1" t="s">
        <v>23</v>
      </c>
      <c r="O586" s="3">
        <v>138</v>
      </c>
    </row>
    <row r="587" spans="1:16" x14ac:dyDescent="0.3">
      <c r="A587" s="1" t="s">
        <v>16</v>
      </c>
      <c r="B587" s="1" t="s">
        <v>159</v>
      </c>
      <c r="C587" s="1" t="s">
        <v>366</v>
      </c>
      <c r="D587" s="1" t="s">
        <v>164</v>
      </c>
      <c r="E587" s="1" t="s">
        <v>367</v>
      </c>
      <c r="F587" s="1">
        <v>51416</v>
      </c>
      <c r="G587" s="1" t="s">
        <v>1648</v>
      </c>
      <c r="H587" s="1" t="s">
        <v>1381</v>
      </c>
      <c r="I587" s="1" t="s">
        <v>1649</v>
      </c>
      <c r="J587" s="1" t="s">
        <v>22</v>
      </c>
      <c r="L587" s="2">
        <v>47118</v>
      </c>
      <c r="M587" s="4">
        <v>6500000</v>
      </c>
      <c r="N587" s="1" t="s">
        <v>23</v>
      </c>
      <c r="O587" s="3">
        <v>345</v>
      </c>
    </row>
    <row r="588" spans="1:16" x14ac:dyDescent="0.3">
      <c r="A588" s="1" t="s">
        <v>16</v>
      </c>
      <c r="B588" s="1" t="s">
        <v>159</v>
      </c>
      <c r="C588" s="1" t="s">
        <v>329</v>
      </c>
      <c r="D588" s="1" t="s">
        <v>161</v>
      </c>
      <c r="E588" s="1" t="s">
        <v>28</v>
      </c>
      <c r="F588" s="1">
        <v>51418</v>
      </c>
      <c r="G588" s="1" t="s">
        <v>1650</v>
      </c>
      <c r="H588" s="1" t="s">
        <v>1651</v>
      </c>
      <c r="I588" s="1" t="s">
        <v>1652</v>
      </c>
      <c r="J588" s="1" t="s">
        <v>101</v>
      </c>
      <c r="L588" s="2">
        <v>46844</v>
      </c>
      <c r="M588" s="4">
        <v>36604094</v>
      </c>
      <c r="N588" s="1" t="s">
        <v>23</v>
      </c>
      <c r="O588" s="3">
        <v>345</v>
      </c>
    </row>
    <row r="589" spans="1:16" x14ac:dyDescent="0.3">
      <c r="A589" s="1" t="s">
        <v>16</v>
      </c>
      <c r="B589" s="1" t="s">
        <v>160</v>
      </c>
      <c r="C589" s="1" t="s">
        <v>173</v>
      </c>
      <c r="D589" s="1" t="s">
        <v>163</v>
      </c>
      <c r="E589" s="1" t="s">
        <v>130</v>
      </c>
      <c r="F589" s="1">
        <v>51420</v>
      </c>
      <c r="G589" s="1" t="s">
        <v>1653</v>
      </c>
      <c r="H589" s="1" t="s">
        <v>1654</v>
      </c>
      <c r="J589" s="1" t="s">
        <v>22</v>
      </c>
      <c r="L589" s="2">
        <v>49461</v>
      </c>
      <c r="M589" s="4">
        <v>1730875</v>
      </c>
      <c r="N589" s="1" t="s">
        <v>23</v>
      </c>
      <c r="O589" s="3">
        <v>115</v>
      </c>
      <c r="P589" s="3">
        <v>115</v>
      </c>
    </row>
    <row r="590" spans="1:16" x14ac:dyDescent="0.3">
      <c r="A590" s="1" t="s">
        <v>16</v>
      </c>
      <c r="B590" s="1" t="s">
        <v>160</v>
      </c>
      <c r="C590" s="1" t="s">
        <v>173</v>
      </c>
      <c r="D590" s="1" t="s">
        <v>163</v>
      </c>
      <c r="E590" s="1" t="s">
        <v>130</v>
      </c>
      <c r="F590" s="1">
        <v>51421</v>
      </c>
      <c r="G590" s="1" t="s">
        <v>1655</v>
      </c>
      <c r="H590" s="1" t="s">
        <v>1656</v>
      </c>
      <c r="J590" s="1" t="s">
        <v>22</v>
      </c>
      <c r="L590" s="2">
        <v>49461</v>
      </c>
      <c r="M590" s="4">
        <v>1735000</v>
      </c>
      <c r="N590" s="1" t="s">
        <v>23</v>
      </c>
      <c r="O590" s="3">
        <v>115</v>
      </c>
      <c r="P590" s="3">
        <v>115</v>
      </c>
    </row>
    <row r="591" spans="1:16" x14ac:dyDescent="0.3">
      <c r="A591" s="1" t="s">
        <v>16</v>
      </c>
      <c r="B591" s="1" t="s">
        <v>159</v>
      </c>
      <c r="C591" s="1" t="s">
        <v>837</v>
      </c>
      <c r="D591" s="1" t="s">
        <v>163</v>
      </c>
      <c r="E591" s="1" t="s">
        <v>130</v>
      </c>
      <c r="F591" s="1">
        <v>51423</v>
      </c>
      <c r="G591" s="1" t="s">
        <v>1657</v>
      </c>
      <c r="H591" s="1" t="s">
        <v>1658</v>
      </c>
      <c r="I591" s="1" t="s">
        <v>1659</v>
      </c>
      <c r="J591" s="1" t="s">
        <v>101</v>
      </c>
      <c r="L591" s="2">
        <v>46874</v>
      </c>
      <c r="M591" s="4">
        <v>1</v>
      </c>
      <c r="N591" s="1" t="s">
        <v>23</v>
      </c>
      <c r="O591" s="3">
        <v>230</v>
      </c>
    </row>
    <row r="592" spans="1:16" x14ac:dyDescent="0.3">
      <c r="A592" s="1" t="s">
        <v>16</v>
      </c>
      <c r="B592" s="1" t="s">
        <v>159</v>
      </c>
      <c r="C592" s="1" t="s">
        <v>589</v>
      </c>
      <c r="D592" s="1" t="s">
        <v>161</v>
      </c>
      <c r="E592" s="1" t="s">
        <v>28</v>
      </c>
      <c r="F592" s="1">
        <v>51425</v>
      </c>
      <c r="G592" s="1" t="s">
        <v>1660</v>
      </c>
      <c r="H592" s="1" t="s">
        <v>1661</v>
      </c>
      <c r="I592" s="1" t="s">
        <v>1662</v>
      </c>
      <c r="J592" s="1" t="s">
        <v>32</v>
      </c>
      <c r="K592" s="1" t="s">
        <v>205</v>
      </c>
      <c r="L592" s="2">
        <v>47027</v>
      </c>
      <c r="M592" s="4">
        <v>54300000</v>
      </c>
      <c r="N592" s="1" t="s">
        <v>23</v>
      </c>
      <c r="O592" s="3">
        <v>345</v>
      </c>
      <c r="P592" s="3">
        <v>69</v>
      </c>
    </row>
    <row r="593" spans="1:16" x14ac:dyDescent="0.3">
      <c r="A593" s="1" t="s">
        <v>16</v>
      </c>
      <c r="B593" s="1" t="s">
        <v>159</v>
      </c>
      <c r="C593" s="1" t="s">
        <v>64</v>
      </c>
      <c r="D593" s="1" t="s">
        <v>161</v>
      </c>
      <c r="E593" s="1" t="s">
        <v>65</v>
      </c>
      <c r="F593" s="1">
        <v>51428</v>
      </c>
      <c r="G593" s="1" t="s">
        <v>1663</v>
      </c>
      <c r="H593" s="1" t="s">
        <v>1664</v>
      </c>
      <c r="I593" s="1" t="s">
        <v>387</v>
      </c>
      <c r="J593" s="1" t="s">
        <v>32</v>
      </c>
      <c r="K593" s="1" t="s">
        <v>205</v>
      </c>
      <c r="L593" s="2">
        <v>46905</v>
      </c>
      <c r="M593" s="4">
        <v>7452000</v>
      </c>
      <c r="N593" s="1" t="s">
        <v>23</v>
      </c>
      <c r="O593" s="3">
        <v>138</v>
      </c>
    </row>
    <row r="594" spans="1:16" x14ac:dyDescent="0.3">
      <c r="A594" s="1" t="s">
        <v>16</v>
      </c>
      <c r="B594" s="1" t="s">
        <v>159</v>
      </c>
      <c r="C594" s="1" t="s">
        <v>64</v>
      </c>
      <c r="D594" s="1" t="s">
        <v>161</v>
      </c>
      <c r="E594" s="1" t="s">
        <v>65</v>
      </c>
      <c r="F594" s="1">
        <v>51429</v>
      </c>
      <c r="G594" s="1" t="s">
        <v>1665</v>
      </c>
      <c r="H594" s="1" t="s">
        <v>1666</v>
      </c>
      <c r="I594" s="1" t="s">
        <v>387</v>
      </c>
      <c r="J594" s="1" t="s">
        <v>32</v>
      </c>
      <c r="K594" s="1" t="s">
        <v>205</v>
      </c>
      <c r="L594" s="2">
        <v>47818</v>
      </c>
      <c r="M594" s="4">
        <v>35810000</v>
      </c>
      <c r="N594" s="1" t="s">
        <v>23</v>
      </c>
      <c r="O594" s="3">
        <v>345</v>
      </c>
    </row>
    <row r="595" spans="1:16" x14ac:dyDescent="0.3">
      <c r="A595" s="1" t="s">
        <v>16</v>
      </c>
      <c r="B595" s="1" t="s">
        <v>159</v>
      </c>
      <c r="C595" s="1" t="s">
        <v>366</v>
      </c>
      <c r="D595" s="1" t="s">
        <v>164</v>
      </c>
      <c r="E595" s="1" t="s">
        <v>367</v>
      </c>
      <c r="F595" s="1">
        <v>51430</v>
      </c>
      <c r="G595" s="1" t="s">
        <v>1667</v>
      </c>
      <c r="H595" s="1" t="s">
        <v>1668</v>
      </c>
      <c r="I595" s="1" t="s">
        <v>1199</v>
      </c>
      <c r="J595" s="1" t="s">
        <v>32</v>
      </c>
      <c r="K595" s="1" t="s">
        <v>205</v>
      </c>
      <c r="L595" s="2">
        <v>46752</v>
      </c>
      <c r="M595" s="4">
        <v>131000000</v>
      </c>
      <c r="N595" s="1" t="s">
        <v>23</v>
      </c>
      <c r="O595" s="3">
        <v>345</v>
      </c>
    </row>
    <row r="596" spans="1:16" x14ac:dyDescent="0.3">
      <c r="A596" s="1" t="s">
        <v>16</v>
      </c>
      <c r="B596" s="1" t="s">
        <v>159</v>
      </c>
      <c r="C596" s="1" t="s">
        <v>366</v>
      </c>
      <c r="D596" s="1" t="s">
        <v>164</v>
      </c>
      <c r="E596" s="1" t="s">
        <v>367</v>
      </c>
      <c r="F596" s="1">
        <v>51431</v>
      </c>
      <c r="G596" s="1" t="s">
        <v>1669</v>
      </c>
      <c r="H596" s="1" t="s">
        <v>1670</v>
      </c>
      <c r="I596" s="1" t="s">
        <v>1199</v>
      </c>
      <c r="J596" s="1" t="s">
        <v>32</v>
      </c>
      <c r="K596" s="1" t="s">
        <v>205</v>
      </c>
      <c r="L596" s="2">
        <v>47848</v>
      </c>
      <c r="M596" s="4">
        <v>373000000</v>
      </c>
      <c r="N596" s="1" t="s">
        <v>23</v>
      </c>
      <c r="O596" s="3">
        <v>345</v>
      </c>
      <c r="P596" s="3">
        <v>69</v>
      </c>
    </row>
    <row r="597" spans="1:16" x14ac:dyDescent="0.3">
      <c r="A597" s="1" t="s">
        <v>16</v>
      </c>
      <c r="B597" s="1" t="s">
        <v>159</v>
      </c>
      <c r="C597" s="1" t="s">
        <v>1671</v>
      </c>
      <c r="D597" s="1" t="s">
        <v>161</v>
      </c>
      <c r="E597" s="1" t="s">
        <v>1136</v>
      </c>
      <c r="F597" s="1">
        <v>51432</v>
      </c>
      <c r="G597" s="1" t="s">
        <v>1672</v>
      </c>
      <c r="H597" s="1" t="s">
        <v>1673</v>
      </c>
      <c r="I597" s="1" t="s">
        <v>1674</v>
      </c>
      <c r="J597" s="1" t="s">
        <v>1675</v>
      </c>
      <c r="L597" s="2">
        <v>46905</v>
      </c>
      <c r="M597" s="4">
        <v>4</v>
      </c>
      <c r="N597" s="1" t="s">
        <v>23</v>
      </c>
      <c r="O597" s="3">
        <v>161</v>
      </c>
    </row>
    <row r="598" spans="1:16" x14ac:dyDescent="0.3">
      <c r="A598" s="1" t="s">
        <v>16</v>
      </c>
      <c r="B598" s="1" t="s">
        <v>159</v>
      </c>
      <c r="C598" s="1" t="s">
        <v>1671</v>
      </c>
      <c r="D598" s="1" t="s">
        <v>161</v>
      </c>
      <c r="E598" s="1" t="s">
        <v>1676</v>
      </c>
      <c r="F598" s="1">
        <v>51433</v>
      </c>
      <c r="G598" s="1" t="s">
        <v>1677</v>
      </c>
      <c r="H598" s="1" t="s">
        <v>1678</v>
      </c>
      <c r="I598" s="1" t="s">
        <v>1674</v>
      </c>
      <c r="J598" s="1" t="s">
        <v>1675</v>
      </c>
      <c r="L598" s="2">
        <v>48000</v>
      </c>
      <c r="M598" s="4">
        <v>15</v>
      </c>
      <c r="N598" s="1" t="s">
        <v>23</v>
      </c>
      <c r="O598" s="3">
        <v>345</v>
      </c>
      <c r="P598" s="3">
        <v>161</v>
      </c>
    </row>
    <row r="599" spans="1:16" x14ac:dyDescent="0.3">
      <c r="A599" s="1" t="s">
        <v>16</v>
      </c>
      <c r="B599" s="1" t="s">
        <v>159</v>
      </c>
      <c r="C599" s="1" t="s">
        <v>837</v>
      </c>
      <c r="D599" s="1" t="s">
        <v>163</v>
      </c>
      <c r="E599" s="1" t="s">
        <v>130</v>
      </c>
      <c r="F599" s="1">
        <v>51434</v>
      </c>
      <c r="G599" s="1" t="s">
        <v>1679</v>
      </c>
      <c r="H599" s="1" t="s">
        <v>1680</v>
      </c>
      <c r="I599" s="1" t="s">
        <v>1681</v>
      </c>
      <c r="J599" s="1" t="s">
        <v>1675</v>
      </c>
      <c r="L599" s="2">
        <v>46905</v>
      </c>
      <c r="M599" s="4">
        <v>20000000</v>
      </c>
      <c r="N599" s="1" t="s">
        <v>23</v>
      </c>
      <c r="O599" s="3">
        <v>230</v>
      </c>
    </row>
  </sheetData>
  <mergeCells count="1">
    <mergeCell ref="A1:E1"/>
  </mergeCells>
  <dataValidations count="14">
    <dataValidation showInputMessage="1" showErrorMessage="1" error=" " promptTitle="Lookup (required)" prompt="This Target MTEP Cycle record must already exist in Microsoft Dynamics 365 or in this source file." sqref="A3:A1048576" xr:uid="{00000000-0002-0000-0000-000001000000}"/>
    <dataValidation showInputMessage="1" showErrorMessage="1" error=" " promptTitle="Lookup (required)" prompt="This Submitting TO record must already exist in Microsoft Dynamics 365 or in this source file." sqref="C3:C1048576" xr:uid="{00000000-0002-0000-0000-000003000000}"/>
    <dataValidation type="textLength" operator="lessThanOrEqual" allowBlank="1" showInputMessage="1" showErrorMessage="1" errorTitle="Length Exceeded" error="This value must be less than or equal to 100 characters long." promptTitle="Text" prompt="Maximum Length: 100 characters." sqref="E3:E1048576" xr:uid="{00000000-0002-0000-0000-000005000000}">
      <formula1>100</formula1>
    </dataValidation>
    <dataValidation type="textLength" operator="lessThanOrEqual" showInputMessage="1" showErrorMessage="1" errorTitle="Length Exceeded" error="This value must be less than or equal to 100 characters long." promptTitle="Text (required)" prompt="Maximum Length: 100 characters." sqref="F3:F1048576" xr:uid="{00000000-0002-0000-0000-000006000000}">
      <formula1>100</formula1>
    </dataValidation>
    <dataValidation type="textLength" operator="lessThanOrEqual" showInputMessage="1" showErrorMessage="1" errorTitle="Length Exceeded" error="This value must be less than or equal to 255 characters long." promptTitle="Text (required)" prompt="Maximum Length: 255 characters." sqref="G3:G1048576" xr:uid="{00000000-0002-0000-0000-000007000000}">
      <formula1>255</formula1>
    </dataValidation>
    <dataValidation type="textLength" operator="lessThanOrEqual" showInputMessage="1" showErrorMessage="1" errorTitle="Length Exceeded" error="This value must be less than or equal to 2500 characters long." promptTitle="Text (required)" prompt="Maximum Length: 2500 characters." sqref="H3:H1048576" xr:uid="{00000000-0002-0000-0000-000008000000}">
      <formula1>2500</formula1>
    </dataValidation>
    <dataValidation type="textLength" operator="lessThanOrEqual" allowBlank="1" showInputMessage="1" showErrorMessage="1" errorTitle="Length Exceeded" error="This value must be less than or equal to 3500 characters long." promptTitle="Text" prompt="Maximum Length: 3500 characters." sqref="I3:I1048576" xr:uid="{00000000-0002-0000-0000-000009000000}">
      <formula1>3500</formula1>
    </dataValidation>
    <dataValidation showInputMessage="1" showErrorMessage="1" error=" " promptTitle="Lookup (required)" prompt="This Project Type record must already exist in Microsoft Dynamics 365 or in this source file." sqref="J3:J1048576" xr:uid="{00000000-0002-0000-0000-00000A000000}"/>
    <dataValidation allowBlank="1" showInputMessage="1" showErrorMessage="1" error=" " promptTitle="Lookup" prompt="This Other Type record must already exist in Microsoft Dynamics 365 or in this source file." sqref="K3:K1048576" xr:uid="{00000000-0002-0000-0000-00000B000000}"/>
    <dataValidation type="date" operator="greaterThanOrEqual" allowBlank="1" showInputMessage="1" showErrorMessage="1" errorTitle="Invalid Date" error="Expected ISD must be in the correct date format." promptTitle="Date" prompt=" " sqref="L3:L1048576" xr:uid="{00000000-0002-0000-0000-00000C000000}">
      <formula1>1</formula1>
    </dataValidation>
    <dataValidation type="decimal" allowBlank="1" showInputMessage="1" showErrorMessage="1" errorTitle="Value beyond range" error="Current Cost must be a number from -922337203685477 through 922337203685477." promptTitle="Decimal number" prompt="Minimum Value: -922337203685477._x000d__x000a_Maximum Value: 922337203685477._x000d__x000a_  " sqref="M3:M1048576" xr:uid="{00000000-0002-0000-0000-00000D000000}">
      <formula1>-922337203685477</formula1>
      <formula2>922337203685477</formula2>
    </dataValidation>
    <dataValidation allowBlank="1" showInputMessage="1" showErrorMessage="1" error=" " promptTitle="Lookup" prompt="This Planning Status record must already exist in Microsoft Dynamics 365 or in this source file." sqref="N3:N1048576" xr:uid="{00000000-0002-0000-0000-00000E000000}"/>
    <dataValidation type="decimal" allowBlank="1" showInputMessage="1" showErrorMessage="1" errorTitle="Value beyond range" error="Max kV must be a whole number from -2147483648 through 2147483647." promptTitle="Whole number" prompt="Minimum Value: -2147483648._x000d__x000a_Maximum Value: 2147483647._x000d__x000a_  " sqref="O3:O1048576" xr:uid="{00000000-0002-0000-0000-00000F000000}">
      <formula1>-2147483648</formula1>
      <formula2>2147483647</formula2>
    </dataValidation>
    <dataValidation type="decimal" allowBlank="1" showInputMessage="1" showErrorMessage="1" errorTitle="Value beyond range" error="Min kV must be a whole number from -2147483648 through 2147483647." promptTitle="Whole number" prompt="Minimum Value: -2147483648._x000d__x000a_Maximum Value: 2147483647._x000d__x000a_  " sqref="P3:P1048576" xr:uid="{00000000-0002-0000-0000-000010000000}">
      <formula1>-2147483648</formula1>
      <formula2>2147483647</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errorTitle="List Value" error="Target Appendix must be selected from the drop-down list." promptTitle="Option set (required)" prompt="Select a value from the drop-down list." xr:uid="{00000000-0002-0000-0000-00000E000000}">
          <x14:formula1>
            <xm:f>hiddenSheet!$A$2:$B$2</xm:f>
          </x14:formula1>
          <xm:sqref>B3:B1048576</xm:sqref>
        </x14:dataValidation>
        <x14:dataValidation type="list" showInputMessage="1" showErrorMessage="1" errorTitle="List Value" error="Planning Region must be selected from the drop-down list." promptTitle="Option set (required)" prompt="Select a value from the drop-down list." xr:uid="{00000000-0002-0000-0000-00000F000000}">
          <x14:formula1>
            <xm:f>hiddenSheet!$A$3:$D$3</xm:f>
          </x14:formula1>
          <xm:sqref>D3:D1048576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D3"/>
  <sheetViews>
    <sheetView workbookViewId="0"/>
  </sheetViews>
  <sheetFormatPr defaultRowHeight="14.4" x14ac:dyDescent="0.3"/>
  <sheetData>
    <row r="1" spans="1:4" x14ac:dyDescent="0.3">
      <c r="A1" t="s">
        <v>1682</v>
      </c>
    </row>
    <row r="2" spans="1:4" x14ac:dyDescent="0.3">
      <c r="A2" t="s">
        <v>159</v>
      </c>
      <c r="B2" t="s">
        <v>160</v>
      </c>
    </row>
    <row r="3" spans="1:4" x14ac:dyDescent="0.3">
      <c r="A3" t="s">
        <v>161</v>
      </c>
      <c r="B3" t="s">
        <v>162</v>
      </c>
      <c r="C3" t="s">
        <v>163</v>
      </c>
      <c r="D3"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MTEP Projects Under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Avneet Kaur</cp:lastModifiedBy>
  <dcterms:created xsi:type="dcterms:W3CDTF">2026-07-02T19:25:30Z</dcterms:created>
  <dcterms:modified xsi:type="dcterms:W3CDTF">2026-07-31T15:15:58Z</dcterms:modified>
</cp:coreProperties>
</file>