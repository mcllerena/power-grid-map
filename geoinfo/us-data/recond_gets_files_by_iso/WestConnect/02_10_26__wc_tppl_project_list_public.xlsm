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1.xml" ContentType="application/vnd.openxmlformats-officedocument.spreadsheetml.comments+xml"/>
  <Override PartName="/xl/drawings/drawing4.xml" ContentType="application/vnd.openxmlformats-officedocument.drawing+xml"/>
  <Override PartName="/xl/ctrlProps/ctrlProp12.xml" ContentType="application/vnd.ms-excel.controlproperties+xml"/>
  <Override PartName="/xl/ctrlProps/ctrlProp1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defaultThemeVersion="124226"/>
  <mc:AlternateContent xmlns:mc="http://schemas.openxmlformats.org/markup-compatibility/2006">
    <mc:Choice Requires="x15">
      <x15ac:absPath xmlns:x15ac="http://schemas.microsoft.com/office/spreadsheetml/2010/11/ac" url="W:\01_Analysis-Tools-Datasets\Tools\TPPL\TPPL Change Files\2026-27 cycle\2-Working Files 26-27\2-Modification Files Received\"/>
    </mc:Choice>
  </mc:AlternateContent>
  <xr:revisionPtr revIDLastSave="0" documentId="13_ncr:1_{AC5D8B8D-C2EB-42CD-A60F-19E9E40C118C}" xr6:coauthVersionLast="47" xr6:coauthVersionMax="47" xr10:uidLastSave="{00000000-0000-0000-0000-000000000000}"/>
  <bookViews>
    <workbookView xWindow="25695" yWindow="0" windowWidth="26010" windowHeight="20985" tabRatio="893" activeTab="1" xr2:uid="{00000000-000D-0000-FFFF-FFFF00000000}"/>
  </bookViews>
  <sheets>
    <sheet name="Control" sheetId="7" r:id="rId1"/>
    <sheet name="All Projects" sheetId="2" r:id="rId2"/>
    <sheet name="Project Entry" sheetId="6" r:id="rId3"/>
    <sheet name="Report Page" sheetId="3" r:id="rId4"/>
    <sheet name="PDF Reporting" sheetId="8" r:id="rId5"/>
  </sheets>
  <functionGroups builtInGroupCount="19"/>
  <definedNames>
    <definedName name="_xlnm._FilterDatabase" localSheetId="1" hidden="1">'All Projects'!$A$1:$AY$390</definedName>
    <definedName name="All_Req_Infrastructure_Identifyied">'All Projects'!$V$1</definedName>
    <definedName name="All_Req_Infrastructure_Identifyied_FRM">'Project Entry'!$A$42</definedName>
    <definedName name="Assoc_Gen_Cap">'All Projects'!$AH$1</definedName>
    <definedName name="Assoc_Gen_Cap_FRM">'Project Entry'!$A$56</definedName>
    <definedName name="Assoc_Gen_IA_YorN">'All Projects'!$AM$1</definedName>
    <definedName name="Assoc_Gen_IA_YorN_FRM">'Project Entry'!$A$61</definedName>
    <definedName name="Assoc_Gen_POI">'All Projects'!$AJ$1</definedName>
    <definedName name="Assoc_Gen_POI_FRM">'Project Entry'!$A$58</definedName>
    <definedName name="Assoc_Gen_Sink">'All Projects'!$AK$1</definedName>
    <definedName name="Assoc_Gen_Sink_FRM">'Project Entry'!$A$59</definedName>
    <definedName name="Assoc_Gen_Tech">'All Projects'!$AI$1</definedName>
    <definedName name="Assoc_Gen_Tech_FRM">'Project Entry'!$A$57</definedName>
    <definedName name="Assoc_Gen_TSA_YorN">'All Projects'!$AL$1</definedName>
    <definedName name="Assoc_Gen_TSA_YorN_FRM">'Project Entry'!$A$60</definedName>
    <definedName name="Associated_Gen_YorN">'All Projects'!$AG$1</definedName>
    <definedName name="Associated_Gen_YorN_FRM">'Project Entry'!$A$55</definedName>
    <definedName name="ChangeTime">'All Projects'!$AP$1</definedName>
    <definedName name="ChangeTime_FRM">'Project Entry'!$A$91</definedName>
    <definedName name="Construction_Commitments">'All Projects'!$Z$1</definedName>
    <definedName name="Construction_Commitments_FRM">'Project Entry'!$A$46</definedName>
    <definedName name="Contact_City">'All Projects'!#REF!</definedName>
    <definedName name="Contact_City_FRM">'Project Entry'!$A$66</definedName>
    <definedName name="Contact_Country">'All Projects'!#REF!</definedName>
    <definedName name="Contact_Country_FRM">'Project Entry'!$A$67</definedName>
    <definedName name="Contact_State_Province">'All Projects'!#REF!</definedName>
    <definedName name="Contact_State_Province_FRM">'Project Entry'!$A$68</definedName>
    <definedName name="Contact_Street_Address">'All Projects'!#REF!</definedName>
    <definedName name="Contact_Street_Address_FRM">'Project Entry'!$A$65</definedName>
    <definedName name="Contact_Zip">'All Projects'!#REF!</definedName>
    <definedName name="Contact_Zip_FRM">'Project Entry'!$A$69</definedName>
    <definedName name="Contact2_City">'All Projects'!#REF!</definedName>
    <definedName name="Contact2_City_FRM">'Project Entry'!$A$73</definedName>
    <definedName name="Contact2_Country">'All Projects'!#REF!</definedName>
    <definedName name="Contact2_Country_FRM">'Project Entry'!$A$74</definedName>
    <definedName name="Contact2_Email">'All Projects'!#REF!</definedName>
    <definedName name="Contact2_Email_FRM">'Project Entry'!$A$71</definedName>
    <definedName name="Contact2_Name">'All Projects'!#REF!</definedName>
    <definedName name="Contact2_Name_FRM">'Project Entry'!$A$70</definedName>
    <definedName name="Contact2_Phone">'All Projects'!#REF!</definedName>
    <definedName name="Contact2_Phone_FRM">'Project Entry'!$A$77</definedName>
    <definedName name="Contact2_State_Province">'All Projects'!#REF!</definedName>
    <definedName name="Contact2_State_Province_FRM">'Project Entry'!$A$75</definedName>
    <definedName name="Contact2_Street">'All Projects'!#REF!</definedName>
    <definedName name="Contact2_Street_FRM">'Project Entry'!$A$72</definedName>
    <definedName name="Contact2_Zip">'All Projects'!#REF!</definedName>
    <definedName name="Contact2_Zip_FRM">'Project Entry'!$A$76</definedName>
    <definedName name="ContactName">'All Projects'!#REF!</definedName>
    <definedName name="ContactName_FRM">'Project Entry'!$A$31</definedName>
    <definedName name="Cost">'All Projects'!#REF!</definedName>
    <definedName name="Cost_FRM">'Project Entry'!$A$27</definedName>
    <definedName name="DateProjectEntered">'All Projects'!$AR$1</definedName>
    <definedName name="DateProjectEntered_FRM">'Project Entry'!$A$93</definedName>
    <definedName name="Description">'All Projects'!$D$1</definedName>
    <definedName name="Description_FRM">'Project Entry'!$A$10</definedName>
    <definedName name="Development">'All Projects'!$K$1</definedName>
    <definedName name="Development_FRM">'Project Entry'!$A$18</definedName>
    <definedName name="Drivers">'All Projects'!$F$1</definedName>
    <definedName name="Drivers_FRM">'Project Entry'!$A$12</definedName>
    <definedName name="Email">'All Projects'!#REF!</definedName>
    <definedName name="Email_FRM">'Project Entry'!$A$33</definedName>
    <definedName name="EmailAddress">Control!$B$14</definedName>
    <definedName name="FacilityType">'All Projects'!$I$1</definedName>
    <definedName name="FacilityType_FRM">'Project Entry'!$A$15</definedName>
    <definedName name="Federal_Permit_Required_YorN">'All Projects'!$AC$1</definedName>
    <definedName name="Federal_Permit_Required_YorN_FRM">'Project Entry'!$A$49</definedName>
    <definedName name="Federal_Permit_ROD_YorN">'All Projects'!$AD$1</definedName>
    <definedName name="Federal_Permit_ROD_YorN_FRM">'Project Entry'!$A$50</definedName>
    <definedName name="Financial_Arrangments">'All Projects'!$Y$1</definedName>
    <definedName name="Financial_Arrangments_FRM">'Project Entry'!$A$45</definedName>
    <definedName name="Financing_Commitment">'All Projects'!$X$1</definedName>
    <definedName name="Financing_Commitment_FRM">'Project Entry'!$A$44</definedName>
    <definedName name="Further_Details">'All Projects'!$AN$1</definedName>
    <definedName name="Further_Details_FRM">'Project Entry'!$A$64</definedName>
    <definedName name="Have_Project_Transmission_Service_Agreements">'All Projects'!$AA$1</definedName>
    <definedName name="Have_Project_Transmission_Service_Agreements_FRM">'Project Entry'!$A$47</definedName>
    <definedName name="InService">'All Projects'!$N$1</definedName>
    <definedName name="InService_FRM">'Project Entry'!$A$21</definedName>
    <definedName name="IQ_CH">110000</definedName>
    <definedName name="IQ_CQ">5000</definedName>
    <definedName name="IQ_CY">10000</definedName>
    <definedName name="IQ_DAILY">500000</definedName>
    <definedName name="IQ_FH">100000</definedName>
    <definedName name="IQ_FQ">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1000</definedName>
    <definedName name="IQ_LATESTK" hidden="1">1000</definedName>
    <definedName name="IQ_LATESTQ" hidden="1">500</definedName>
    <definedName name="IQ_LTM">2000</definedName>
    <definedName name="IQ_LTMMONTH" hidden="1">120000</definedName>
    <definedName name="IQ_MONTH">15000</definedName>
    <definedName name="IQ_NTM">6000</definedName>
    <definedName name="IQ_TODAY" hidden="1">0</definedName>
    <definedName name="IQ_WEEK">50000</definedName>
    <definedName name="IQ_YTD">3000</definedName>
    <definedName name="IQ_YTDMONTH" hidden="1">130000</definedName>
    <definedName name="LastSaved">Control!$B$21</definedName>
    <definedName name="Length">'All Projects'!$P$1</definedName>
    <definedName name="Length_FRM">'Project Entry'!$A$25</definedName>
    <definedName name="Login">Control!$B$7</definedName>
    <definedName name="MAPPCOR_POST_DATE">#REF!</definedName>
    <definedName name="ModEmail">'All Projects'!#REF!</definedName>
    <definedName name="ModFile">'All Projects'!#REF!</definedName>
    <definedName name="modifieddate">'All Projects'!$AO$1</definedName>
    <definedName name="modifieddate_FRM">'Project Entry'!$A$35</definedName>
    <definedName name="NeededForPublicPolicy_YorN">'All Projects'!$G$1</definedName>
    <definedName name="NeededForPublicPolicy_YorN_FRM">'Project Entry'!$A$13</definedName>
    <definedName name="NewProject_FRM">'Project Entry'!$A$95</definedName>
    <definedName name="Origin">'All Projects'!$L$1</definedName>
    <definedName name="Origin_FRM">'Project Entry'!$A$19</definedName>
    <definedName name="Phone">'All Projects'!#REF!</definedName>
    <definedName name="Phone_FRM">'Project Entry'!$A$32</definedName>
    <definedName name="POST_DATE">'All Projects'!$AQ$1</definedName>
    <definedName name="POST_DATE_FRM">'Project Entry'!$A$92</definedName>
    <definedName name="_xlnm.Print_Area" localSheetId="2">'Project Entry'!$A$7:$C$36</definedName>
    <definedName name="_xlnm.Print_Area" localSheetId="3">'Report Page'!$B$1:$D$23</definedName>
    <definedName name="Print_Parameters">'Project Entry'!$A$97</definedName>
    <definedName name="_xlnm.Print_Titles" localSheetId="2">'Project Entry'!$2:$6</definedName>
    <definedName name="Project_Inservice_for_Local_Planning_Process">'All Projects'!$W$1</definedName>
    <definedName name="Project_Inservice_for_Local_Planning_Process_FRM">'Project Entry'!$A$43</definedName>
    <definedName name="Project_Map_URL">'All Projects'!$T$1</definedName>
    <definedName name="Project_Map_URL_FRM">'Project Entry'!$A$40</definedName>
    <definedName name="projectid">'All Projects'!$A$1</definedName>
    <definedName name="projectid_FRM">'Project Entry'!$A$88</definedName>
    <definedName name="ProjectName">'All Projects'!$C$1</definedName>
    <definedName name="ProjectName_FRM">'Project Entry'!$A$5</definedName>
    <definedName name="PublicPoliciesInvolved">'All Projects'!$H$1</definedName>
    <definedName name="PublicPoliciesInvolved_FRM">'Project Entry'!$A$14</definedName>
    <definedName name="Purpose">'All Projects'!$E$1</definedName>
    <definedName name="Purpose_FRM">'Project Entry'!$A$11</definedName>
    <definedName name="Rating">'All Projects'!#REF!</definedName>
    <definedName name="Rating_FRM">'Project Entry'!$A$17</definedName>
    <definedName name="ReportRow">'Report Page'!$C$47</definedName>
    <definedName name="SaveOrSaveAndEmail">Control!$B$35</definedName>
    <definedName name="SelectedProjectRow_FRM">'Project Entry'!$A$83</definedName>
    <definedName name="SelectedSponsor">Control!$B$26</definedName>
    <definedName name="SortLevel1">'All Projects'!$AW$1</definedName>
    <definedName name="SortLevel2">'All Projects'!$AX$1</definedName>
    <definedName name="SortLevel3">'All Projects'!$AY$1</definedName>
    <definedName name="Sponsor">'All Projects'!$B$1</definedName>
    <definedName name="sponsor_FRM">'Project Entry'!$A$6</definedName>
    <definedName name="SponsorAbr">Control!$C$26</definedName>
    <definedName name="State_Permit_Obtained_YorN">'All Projects'!$AF$1</definedName>
    <definedName name="State_Permit_Obtained_YorN_FRM">'Project Entry'!$A$52</definedName>
    <definedName name="State_Permit_Required_YorN">'All Projects'!$AE$1</definedName>
    <definedName name="State_Permit_Required_YorN_FRM">'Project Entry'!$A$51</definedName>
    <definedName name="StateTraversed">'All Projects'!$Q$1</definedName>
    <definedName name="StateTraversed_FRM">'Project Entry'!$A$26</definedName>
    <definedName name="Submittal_Email">Control!$B$32</definedName>
    <definedName name="SubRegionalID_Name">'All Projects'!$O$1</definedName>
    <definedName name="SubRegionalID_Name_FRM">'Project Entry'!$A$22</definedName>
    <definedName name="System_Impact_Study_YorN">'All Projects'!$U$1</definedName>
    <definedName name="System_Impact_Study_YorN_FRM">'Project Entry'!$A$41</definedName>
    <definedName name="Termination">'All Projects'!$M$1</definedName>
    <definedName name="Termination_FRM">'Project Entry'!$A$20</definedName>
    <definedName name="TimeLastSent">Control!$B$17</definedName>
    <definedName name="Timestamp">Control!$B$29</definedName>
    <definedName name="Transmission_Service_Agreement_Date">'All Projects'!$AB$1</definedName>
    <definedName name="Transmission_Service_Agreement_Date_FRM">'Project Entry'!$A$48</definedName>
    <definedName name="Voltage">'All Projects'!$J$1</definedName>
    <definedName name="Voltage_FRM">'Project Entry'!$A$16</definedName>
    <definedName name="wcprojectID">'All Projects'!$S$1</definedName>
    <definedName name="wcprojectID_FRM">'Project Entry'!$A$4</definedName>
    <definedName name="WestConnect_TO_YorN">'All Projects'!$R$1</definedName>
    <definedName name="WestConnect_TO_YorN_FRM">'Project Entry'!$A$30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32" i="7" l="1"/>
  <c r="S3" i="2" l="1"/>
  <c r="S4" i="2"/>
  <c r="S5" i="2"/>
  <c r="S6" i="2"/>
  <c r="S7" i="2"/>
  <c r="S8" i="2"/>
  <c r="S9" i="2"/>
  <c r="S10" i="2"/>
  <c r="S11" i="2"/>
  <c r="S12" i="2"/>
  <c r="S13" i="2"/>
  <c r="S14" i="2"/>
  <c r="S15" i="2"/>
  <c r="S16" i="2"/>
  <c r="S17" i="2"/>
  <c r="S18" i="2"/>
  <c r="S19" i="2"/>
  <c r="S21" i="2"/>
  <c r="S22" i="2"/>
  <c r="S23" i="2"/>
  <c r="S24" i="2"/>
  <c r="S25" i="2"/>
  <c r="S26" i="2"/>
  <c r="S27" i="2"/>
  <c r="S28" i="2"/>
  <c r="S29" i="2"/>
  <c r="S30" i="2"/>
  <c r="S31" i="2"/>
  <c r="S32" i="2"/>
  <c r="S33" i="2"/>
  <c r="S34" i="2"/>
  <c r="S35" i="2"/>
  <c r="S36" i="2"/>
  <c r="S37" i="2"/>
  <c r="S38" i="2"/>
  <c r="S39" i="2"/>
  <c r="S40" i="2"/>
  <c r="S45" i="2"/>
  <c r="S46" i="2"/>
  <c r="S47" i="2"/>
  <c r="S48" i="2"/>
  <c r="S49" i="2"/>
  <c r="S50" i="2"/>
  <c r="S51" i="2"/>
  <c r="S52" i="2"/>
  <c r="S53" i="2"/>
  <c r="S54" i="2"/>
  <c r="S55" i="2"/>
  <c r="S56" i="2"/>
  <c r="S57" i="2"/>
  <c r="S58" i="2"/>
  <c r="S59" i="2"/>
  <c r="S60" i="2"/>
  <c r="S61" i="2"/>
  <c r="S62" i="2"/>
  <c r="S63" i="2"/>
  <c r="S64" i="2"/>
  <c r="S65" i="2"/>
  <c r="S66" i="2"/>
  <c r="S67" i="2"/>
  <c r="S68" i="2"/>
  <c r="S69" i="2"/>
  <c r="S70" i="2"/>
  <c r="S71" i="2"/>
  <c r="S72" i="2"/>
  <c r="S73" i="2"/>
  <c r="S74" i="2"/>
  <c r="S75" i="2"/>
  <c r="S76" i="2"/>
  <c r="S77" i="2"/>
  <c r="S78" i="2"/>
  <c r="S79" i="2"/>
  <c r="S80" i="2"/>
  <c r="S81" i="2"/>
  <c r="S82" i="2"/>
  <c r="S83" i="2"/>
  <c r="S84" i="2"/>
  <c r="S89" i="2"/>
  <c r="S90" i="2"/>
  <c r="S91" i="2"/>
  <c r="S92" i="2"/>
  <c r="S120" i="2"/>
  <c r="S121" i="2"/>
  <c r="S122" i="2"/>
  <c r="S123" i="2"/>
  <c r="S124" i="2"/>
  <c r="S125" i="2"/>
  <c r="S126" i="2"/>
  <c r="S127" i="2"/>
  <c r="S128" i="2"/>
  <c r="S129" i="2"/>
  <c r="S130" i="2"/>
  <c r="S131" i="2"/>
  <c r="S132" i="2"/>
  <c r="S133" i="2"/>
  <c r="S134" i="2"/>
  <c r="S135" i="2"/>
  <c r="S136" i="2"/>
  <c r="S137" i="2"/>
  <c r="S138" i="2"/>
  <c r="S139" i="2"/>
  <c r="S140" i="2"/>
  <c r="S141" i="2"/>
  <c r="S142" i="2"/>
  <c r="S143" i="2"/>
  <c r="S144" i="2"/>
  <c r="S145" i="2"/>
  <c r="S146" i="2"/>
  <c r="S147" i="2"/>
  <c r="S148" i="2"/>
  <c r="S149" i="2"/>
  <c r="S150" i="2"/>
  <c r="S151" i="2"/>
  <c r="S152" i="2"/>
  <c r="S153" i="2"/>
  <c r="S154" i="2"/>
  <c r="S155" i="2"/>
  <c r="S160" i="2"/>
  <c r="S164" i="2"/>
  <c r="S165" i="2"/>
  <c r="S166" i="2"/>
  <c r="S167" i="2"/>
  <c r="S168" i="2"/>
  <c r="S198" i="2"/>
  <c r="S214" i="2"/>
  <c r="S215" i="2"/>
  <c r="S216" i="2"/>
  <c r="S217" i="2"/>
  <c r="S218" i="2"/>
  <c r="S219" i="2"/>
  <c r="S220" i="2"/>
  <c r="S223" i="2"/>
  <c r="S227" i="2"/>
  <c r="S228" i="2"/>
  <c r="S229" i="2"/>
  <c r="S230" i="2"/>
  <c r="S231" i="2"/>
  <c r="S232" i="2"/>
  <c r="S233" i="2"/>
  <c r="S234" i="2"/>
  <c r="S235" i="2"/>
  <c r="S236" i="2"/>
  <c r="S237" i="2"/>
  <c r="S238" i="2"/>
  <c r="S239" i="2"/>
  <c r="S240" i="2"/>
  <c r="S241" i="2"/>
  <c r="S242" i="2"/>
  <c r="S243" i="2"/>
  <c r="S244" i="2"/>
  <c r="S245" i="2"/>
  <c r="S246" i="2"/>
  <c r="S247" i="2"/>
  <c r="S248" i="2"/>
  <c r="S249" i="2"/>
  <c r="S250" i="2"/>
  <c r="S251" i="2"/>
  <c r="S252" i="2"/>
  <c r="S253" i="2"/>
  <c r="S254" i="2"/>
  <c r="S255" i="2"/>
  <c r="S256" i="2"/>
  <c r="S257" i="2"/>
  <c r="S258" i="2"/>
  <c r="S259" i="2"/>
  <c r="S260" i="2"/>
  <c r="S261" i="2"/>
  <c r="S262" i="2"/>
  <c r="S263" i="2"/>
  <c r="S264" i="2"/>
  <c r="S265" i="2"/>
  <c r="S266" i="2"/>
  <c r="S267" i="2"/>
  <c r="S268" i="2"/>
  <c r="S269" i="2"/>
  <c r="S270" i="2"/>
  <c r="S271" i="2"/>
  <c r="S272" i="2"/>
  <c r="S273" i="2"/>
  <c r="S274" i="2"/>
  <c r="S275" i="2"/>
  <c r="S276" i="2"/>
  <c r="S277" i="2"/>
  <c r="S278" i="2"/>
  <c r="S279" i="2"/>
  <c r="S280" i="2"/>
  <c r="S281" i="2"/>
  <c r="S282" i="2"/>
  <c r="S283" i="2"/>
  <c r="S284" i="2"/>
  <c r="S285" i="2"/>
  <c r="S286" i="2"/>
  <c r="S287" i="2"/>
  <c r="S288" i="2"/>
  <c r="S289" i="2"/>
  <c r="S290" i="2"/>
  <c r="S291" i="2"/>
  <c r="S292" i="2"/>
  <c r="S293" i="2"/>
  <c r="S294" i="2"/>
  <c r="S295" i="2"/>
  <c r="S296" i="2"/>
  <c r="S297" i="2"/>
  <c r="S298" i="2"/>
  <c r="S299" i="2"/>
  <c r="S300" i="2"/>
  <c r="S301" i="2"/>
  <c r="S302" i="2"/>
  <c r="S303" i="2"/>
  <c r="S304" i="2"/>
  <c r="S305" i="2"/>
  <c r="S306" i="2"/>
  <c r="S307" i="2"/>
  <c r="S308" i="2"/>
  <c r="S309" i="2"/>
  <c r="S310" i="2"/>
  <c r="S311" i="2"/>
  <c r="S312" i="2"/>
  <c r="S313" i="2"/>
  <c r="S314" i="2"/>
  <c r="S315" i="2"/>
  <c r="S316" i="2"/>
  <c r="S317" i="2"/>
  <c r="S318" i="2"/>
  <c r="S319" i="2"/>
  <c r="S320" i="2"/>
  <c r="S321" i="2"/>
  <c r="S322" i="2"/>
  <c r="S323" i="2"/>
  <c r="S324" i="2"/>
  <c r="S325" i="2"/>
  <c r="S326" i="2"/>
  <c r="S327" i="2"/>
  <c r="S328" i="2"/>
  <c r="S329" i="2"/>
  <c r="S330" i="2"/>
  <c r="S331" i="2"/>
  <c r="S332" i="2"/>
  <c r="S333" i="2"/>
  <c r="S334" i="2"/>
  <c r="S335" i="2"/>
  <c r="S336" i="2"/>
  <c r="S337" i="2"/>
  <c r="S338" i="2"/>
  <c r="S339" i="2"/>
  <c r="S340" i="2"/>
  <c r="S341" i="2"/>
  <c r="S342" i="2"/>
  <c r="S343" i="2"/>
  <c r="S344" i="2"/>
  <c r="S345" i="2"/>
  <c r="S346" i="2"/>
  <c r="S347" i="2"/>
  <c r="S348" i="2"/>
  <c r="S349" i="2"/>
  <c r="S350" i="2"/>
  <c r="S351" i="2"/>
  <c r="S352" i="2"/>
  <c r="S353" i="2"/>
  <c r="S354" i="2"/>
  <c r="S355" i="2"/>
  <c r="S356" i="2"/>
  <c r="S357" i="2"/>
  <c r="S358" i="2"/>
  <c r="S359" i="2"/>
  <c r="S360" i="2"/>
  <c r="S361" i="2"/>
  <c r="S362" i="2"/>
  <c r="S363" i="2"/>
  <c r="S364" i="2"/>
  <c r="S365" i="2"/>
  <c r="S366" i="2"/>
  <c r="S367" i="2"/>
  <c r="S368" i="2"/>
  <c r="S369" i="2"/>
  <c r="S370" i="2"/>
  <c r="S371" i="2"/>
  <c r="S372" i="2"/>
  <c r="S373" i="2"/>
  <c r="S374" i="2"/>
  <c r="S375" i="2"/>
  <c r="S376" i="2"/>
  <c r="S377" i="2"/>
  <c r="S378" i="2"/>
  <c r="S379" i="2"/>
  <c r="S380" i="2"/>
  <c r="S381" i="2"/>
  <c r="S382" i="2"/>
  <c r="S2" i="2"/>
  <c r="C26" i="7" l="1"/>
  <c r="C20" i="7" l="1"/>
  <c r="C4" i="6"/>
  <c r="B48" i="3" l="1"/>
  <c r="D16" i="3" l="1"/>
  <c r="D14" i="3"/>
  <c r="D10" i="3"/>
  <c r="D19" i="3"/>
  <c r="D9" i="3"/>
  <c r="D5" i="3"/>
  <c r="D23" i="3"/>
  <c r="D7" i="3"/>
  <c r="D8" i="3"/>
  <c r="D22" i="3"/>
  <c r="D25" i="3"/>
  <c r="D21" i="3"/>
  <c r="D12" i="3"/>
  <c r="D11" i="3"/>
  <c r="B1" i="3"/>
  <c r="D4" i="3" s="1"/>
  <c r="B2"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Stephen J. Watry</author>
  </authors>
  <commentList>
    <comment ref="B83" authorId="0" shapeId="0" xr:uid="{00000000-0006-0000-0200-000001000000}">
      <text>
        <r>
          <rPr>
            <sz val="9"/>
            <color indexed="81"/>
            <rFont val="Tahoma"/>
            <family val="2"/>
          </rPr>
          <t>Nothing in this cell</t>
        </r>
      </text>
    </comment>
    <comment ref="B93" authorId="0" shapeId="0" xr:uid="{00000000-0006-0000-0200-000002000000}">
      <text>
        <r>
          <rPr>
            <sz val="9"/>
            <color indexed="81"/>
            <rFont val="Tahoma"/>
            <family val="2"/>
          </rPr>
          <t xml:space="preserve">The value in this cell </t>
        </r>
      </text>
    </comment>
  </commentList>
</comments>
</file>

<file path=xl/sharedStrings.xml><?xml version="1.0" encoding="utf-8"?>
<sst xmlns="http://schemas.openxmlformats.org/spreadsheetml/2006/main" count="6661" uniqueCount="1653">
  <si>
    <t>Description</t>
  </si>
  <si>
    <t>Voltage</t>
  </si>
  <si>
    <t>Rating</t>
  </si>
  <si>
    <t>Origin</t>
  </si>
  <si>
    <t>Termination</t>
  </si>
  <si>
    <t>Development</t>
  </si>
  <si>
    <t>Purpose</t>
  </si>
  <si>
    <t>ContactName</t>
  </si>
  <si>
    <t>InService</t>
  </si>
  <si>
    <t>ProjectName</t>
  </si>
  <si>
    <t>Phone</t>
  </si>
  <si>
    <t>Email</t>
  </si>
  <si>
    <t>projectid</t>
  </si>
  <si>
    <t>modifieddate</t>
  </si>
  <si>
    <t>138 kV</t>
  </si>
  <si>
    <t>TEP</t>
  </si>
  <si>
    <t>Transmission Line</t>
  </si>
  <si>
    <t>Yes</t>
  </si>
  <si>
    <t>Planned</t>
  </si>
  <si>
    <t>Substation</t>
  </si>
  <si>
    <t>115 kV</t>
  </si>
  <si>
    <t>N/A</t>
  </si>
  <si>
    <t>TBD</t>
  </si>
  <si>
    <t>Other</t>
  </si>
  <si>
    <t>No</t>
  </si>
  <si>
    <t>500 kV AC</t>
  </si>
  <si>
    <t>TANC</t>
  </si>
  <si>
    <t>345 kV</t>
  </si>
  <si>
    <t>PNM</t>
  </si>
  <si>
    <t>Western Area Power Administration - DSW</t>
  </si>
  <si>
    <t>230 kV</t>
  </si>
  <si>
    <t>A new 500kV line from the northeastern Arizona area to the Phoenix Metropolitan area.</t>
  </si>
  <si>
    <t>A new or existing substation in or around the Phoenix Metropolitan area</t>
  </si>
  <si>
    <t>Conceptual</t>
  </si>
  <si>
    <t>This project is being explored as a means to provide access to potential resources and deliver them to the Phoenix Metropolitan area.</t>
  </si>
  <si>
    <t>Northeastern Arizona - Phoenix 500kV line</t>
  </si>
  <si>
    <t>Arizona Public Service</t>
  </si>
  <si>
    <t>APS</t>
  </si>
  <si>
    <t>Salt River Project</t>
  </si>
  <si>
    <t>El Paso Electric Company</t>
  </si>
  <si>
    <t>This project is needed to provide the electrical source and support to the sub-transmission system to serve the increasing need for electric energy for the growing communities in the area; such as Buckeye, Goodyear, and Gila Bend. The project will increase the reliability and continuity of service for those areas.</t>
  </si>
  <si>
    <t>SRP</t>
  </si>
  <si>
    <t>A new 230kV transmission line between the future Sun Valley substation and the Buckeye substation. This project may be constructed with double circuit capability, but initially operated as a single circuit.</t>
  </si>
  <si>
    <t>This project will be needed to serve the increasing need for electric energy in the west and northwest portions of the Phoenix Metropolitan area. Additionally, improved reliability and continuity of service will result for this fast growing portion of Maricopa County. This line will provide the first portion of the transmission infrastructure in this previously undeveloped area.</t>
  </si>
  <si>
    <t>This project is a new 230kV transmission line that would be constructed in the area north and west of the future Sun Valley substation. This project may be constructed with double circuit capability, but initially operated as a single circuit.</t>
  </si>
  <si>
    <t>Dine Power Authority</t>
  </si>
  <si>
    <t>TransWest Express, LLC</t>
  </si>
  <si>
    <t>Rancho Vistoso 138 kV bus</t>
  </si>
  <si>
    <t>Corona 138/13.8 kV Substation</t>
  </si>
  <si>
    <t>New 138/13.8kV Substation, loop-in of Snyder - Northeast 138 kV line</t>
  </si>
  <si>
    <t>New 230 kV line</t>
  </si>
  <si>
    <t>Griffith</t>
  </si>
  <si>
    <t>N. Havasu</t>
  </si>
  <si>
    <t>Imperial Irrigation District</t>
  </si>
  <si>
    <t>Midway</t>
  </si>
  <si>
    <t>Below 115 kV</t>
  </si>
  <si>
    <t>This project will be needed to serve the increasing need for electric energy in the city of Yuma. Additionally, improved reliability and continuity of service will result for the fast growing Yuma County.</t>
  </si>
  <si>
    <t>NV Energy</t>
  </si>
  <si>
    <t>A new 230kV transmission line to be constructed between the Westwing substation and the El Sol substation.</t>
  </si>
  <si>
    <t>This line will be needed to increase system capacity to serve growing demand for electric energy in the Phoenix Metropolitan area, while maintaining system reliability and integrity for delivery of bulk power from the Westwing substation south into the APS Phoenix Metropolitan area 230kV transmission system.</t>
  </si>
  <si>
    <t>Western Area Power Administration - RMR</t>
  </si>
  <si>
    <t>Public Service Company of New Mexico</t>
  </si>
  <si>
    <t>Southern California Edison</t>
  </si>
  <si>
    <t>Tri-State Generation and Transmission Association</t>
  </si>
  <si>
    <t>Central Arizona Project</t>
  </si>
  <si>
    <t>Public Service Company of Colorado/ Xcel Energy</t>
  </si>
  <si>
    <t>Lamar</t>
  </si>
  <si>
    <t>Jornada</t>
  </si>
  <si>
    <t>Western Area Power Administration - SNR</t>
  </si>
  <si>
    <t>Increase load serving capability into SATS area</t>
  </si>
  <si>
    <t>Sparks</t>
  </si>
  <si>
    <t>Airport</t>
  </si>
  <si>
    <t>Afton</t>
  </si>
  <si>
    <t>Leasburg</t>
  </si>
  <si>
    <t>TEP Load Serving Capability</t>
  </si>
  <si>
    <t>Load Serving</t>
  </si>
  <si>
    <t>Platte River Power Authority</t>
  </si>
  <si>
    <t>Basin Electric Power Cooperative</t>
  </si>
  <si>
    <t>San Luis River Colorado Project</t>
  </si>
  <si>
    <t>Naranja 138/13.8 kV Substation</t>
  </si>
  <si>
    <t>Kino 138/13.8 kV substation</t>
  </si>
  <si>
    <t>North Loop 138 kV Yard</t>
  </si>
  <si>
    <t>Wyoming-Colorado Intertie, LLC</t>
  </si>
  <si>
    <t>Energy Capital Partners</t>
  </si>
  <si>
    <t>Clean Line Energy Partners</t>
  </si>
  <si>
    <t>Southline Transmission, L.L.C.</t>
  </si>
  <si>
    <t>Saguaro</t>
  </si>
  <si>
    <t>Cheyenne Light Fuel and Power</t>
  </si>
  <si>
    <t>Point of Origin/Location:</t>
  </si>
  <si>
    <t>Tres Amigas LLC</t>
  </si>
  <si>
    <t>Parachute Substation</t>
  </si>
  <si>
    <t>Cameo Substation</t>
  </si>
  <si>
    <t>Project Description:</t>
  </si>
  <si>
    <t>Voltage Class:</t>
  </si>
  <si>
    <t>Point of Termination:</t>
  </si>
  <si>
    <t>Type of Project:</t>
  </si>
  <si>
    <t>Development Status:</t>
  </si>
  <si>
    <t>Subregional Planning Group:</t>
  </si>
  <si>
    <t>Purpose of Project:</t>
  </si>
  <si>
    <t>Schedule:</t>
  </si>
  <si>
    <t>Planned In-Service Date:</t>
  </si>
  <si>
    <t>WestConnect Project ID:</t>
  </si>
  <si>
    <t>Contact Information:</t>
  </si>
  <si>
    <t>wcprojectID</t>
  </si>
  <si>
    <t xml:space="preserve"> </t>
  </si>
  <si>
    <t>sponsor</t>
  </si>
  <si>
    <t>CATS Sub-Regional Planning Group Participants</t>
  </si>
  <si>
    <t>CATS</t>
  </si>
  <si>
    <t>EPEC</t>
  </si>
  <si>
    <t>IID</t>
  </si>
  <si>
    <t>PSC</t>
  </si>
  <si>
    <t>SunZia Transmission, LLC</t>
  </si>
  <si>
    <t>SZS</t>
  </si>
  <si>
    <t>Transmission Agency of Northern California</t>
  </si>
  <si>
    <t>Colorado Springs Utility</t>
  </si>
  <si>
    <t>Sacramento Municipal Utility District</t>
  </si>
  <si>
    <t>Trans-Elect Development Company</t>
  </si>
  <si>
    <t>Great Basin Transmission, LLC</t>
  </si>
  <si>
    <t>CSU</t>
  </si>
  <si>
    <t>ECP</t>
  </si>
  <si>
    <t>CLEP</t>
  </si>
  <si>
    <t>Project Sponsor:</t>
  </si>
  <si>
    <t>Additional Information</t>
  </si>
  <si>
    <t>General Information</t>
  </si>
  <si>
    <t>WESTCONNECT PLAN PROJECT DATA SHEET</t>
  </si>
  <si>
    <t>SubRegionalID_Name</t>
  </si>
  <si>
    <t>Select</t>
  </si>
  <si>
    <t>Sponsor</t>
  </si>
  <si>
    <t>ChangeTime</t>
  </si>
  <si>
    <t>DateProjectEntered</t>
  </si>
  <si>
    <t>Data Last sent by Sponsor</t>
  </si>
  <si>
    <t>Last data saved by Sponsor</t>
  </si>
  <si>
    <t>Email Address (last logged in)</t>
  </si>
  <si>
    <t>SWAT</t>
  </si>
  <si>
    <t>TSGT</t>
  </si>
  <si>
    <t>WALC</t>
  </si>
  <si>
    <t>WACM</t>
  </si>
  <si>
    <t>WASN</t>
  </si>
  <si>
    <t>BEPC</t>
  </si>
  <si>
    <t>SMUD</t>
  </si>
  <si>
    <t>DPA</t>
  </si>
  <si>
    <t>CAPAZ</t>
  </si>
  <si>
    <t>SCE</t>
  </si>
  <si>
    <t>TWE</t>
  </si>
  <si>
    <t>TEDC</t>
  </si>
  <si>
    <t>PRPA</t>
  </si>
  <si>
    <t>SLRC</t>
  </si>
  <si>
    <t>WCI</t>
  </si>
  <si>
    <t>TRES</t>
  </si>
  <si>
    <t>Selected Sponsor</t>
  </si>
  <si>
    <t>CCPG</t>
  </si>
  <si>
    <t>Req</t>
  </si>
  <si>
    <t>Top of ScanData</t>
  </si>
  <si>
    <t>Reliability</t>
  </si>
  <si>
    <t>Save (if MS Outlook not available) or Save and Email</t>
  </si>
  <si>
    <t>Sponsor Code</t>
  </si>
  <si>
    <t>Date Last Modified</t>
  </si>
  <si>
    <t>New Project?</t>
  </si>
  <si>
    <t>GBT</t>
  </si>
  <si>
    <t>NVE</t>
  </si>
  <si>
    <t>SLT</t>
  </si>
  <si>
    <t>WESTCONNECT TRANSMISSION PLAN PROJECT LIST (TPPL) WORKBOOK</t>
  </si>
  <si>
    <t>Select Project Sponsor</t>
  </si>
  <si>
    <t>Project Sponsor</t>
  </si>
  <si>
    <t>Locked</t>
  </si>
  <si>
    <t>Under Construction</t>
  </si>
  <si>
    <t>Tucson Electric Power</t>
  </si>
  <si>
    <t>Black Hills Energy</t>
  </si>
  <si>
    <t>Black Hills Power</t>
  </si>
  <si>
    <t>BHP</t>
  </si>
  <si>
    <t>BHCE</t>
  </si>
  <si>
    <t>Alamogordo</t>
  </si>
  <si>
    <t>Alamogordo Voltage Support Phase II</t>
  </si>
  <si>
    <t>Parachute - Cameo 230 kV Transmission Line</t>
  </si>
  <si>
    <t>Reliability. For future load growth in the region.</t>
  </si>
  <si>
    <t>Sort Levels:</t>
  </si>
  <si>
    <t>CLFP</t>
  </si>
  <si>
    <t>Lucky Corridor, LLC</t>
  </si>
  <si>
    <t>LCD</t>
  </si>
  <si>
    <t>Great Basin Energy Development, LLC</t>
  </si>
  <si>
    <t>GBED</t>
  </si>
  <si>
    <t>Duke-American Transmission Company</t>
  </si>
  <si>
    <t>DATC</t>
  </si>
  <si>
    <t>Southwest Transmission Partners, LLC</t>
  </si>
  <si>
    <t>STP</t>
  </si>
  <si>
    <t>Boone</t>
  </si>
  <si>
    <t>Cahone</t>
  </si>
  <si>
    <t>West Station</t>
  </si>
  <si>
    <t>Burlington</t>
  </si>
  <si>
    <t>Reliability, load and resource accommodation, and increase TOT7 path.</t>
  </si>
  <si>
    <t>Ault Substation</t>
  </si>
  <si>
    <t>Rosedale Substation</t>
  </si>
  <si>
    <t>Poncha</t>
  </si>
  <si>
    <t>Los Angeles Department of Water and Power</t>
  </si>
  <si>
    <t>LADWP</t>
  </si>
  <si>
    <t>NENM Reliability Improvement</t>
  </si>
  <si>
    <t>To reliably serve existing and forecast loads in the NENM transmission system</t>
  </si>
  <si>
    <t>Gladstone, Hess Substation</t>
  </si>
  <si>
    <t>Springer, Bravo Dome Substation</t>
  </si>
  <si>
    <t>Longview Energy Exchange, LLC</t>
  </si>
  <si>
    <t>LEE</t>
  </si>
  <si>
    <t>Install Voltage Support at Alamogordo</t>
  </si>
  <si>
    <t>Prevent low voltage in the Alamogordo area for several contingencies during peak load conditions.</t>
  </si>
  <si>
    <t>Rifle Substation</t>
  </si>
  <si>
    <t>Construct new 230kV transmission line between the Parachute and Cameo Substations.</t>
  </si>
  <si>
    <t>Load service</t>
  </si>
  <si>
    <t>Wilson Substation</t>
  </si>
  <si>
    <t>Reliability and load growth</t>
  </si>
  <si>
    <t>Irvington Substation</t>
  </si>
  <si>
    <t>Afton North</t>
  </si>
  <si>
    <t>NewProject</t>
  </si>
  <si>
    <t>Project Map URL</t>
  </si>
  <si>
    <t xml:space="preserve">Provide any further information or detail about the project for consideration in WestConnect’s Regional Transmission Planning Process. </t>
  </si>
  <si>
    <t>Project Contact Street Address</t>
  </si>
  <si>
    <t>Project Contact City</t>
  </si>
  <si>
    <t>Project Contact Country</t>
  </si>
  <si>
    <t>Project Contact State/Province</t>
  </si>
  <si>
    <t>Project Contact Zip</t>
  </si>
  <si>
    <t>Project Contact Name (2)</t>
  </si>
  <si>
    <t>Project Contact Email (2)</t>
  </si>
  <si>
    <t>Project Contact Street Address (2)</t>
  </si>
  <si>
    <t>Project Contact City (2)</t>
  </si>
  <si>
    <t>Project Contact Country (2)</t>
  </si>
  <si>
    <t>Project Contact State/Province (2)</t>
  </si>
  <si>
    <t>Project Contact Zip (2)</t>
  </si>
  <si>
    <t>Project Contact Phone Number (2)</t>
  </si>
  <si>
    <t>Project_Map_URL</t>
  </si>
  <si>
    <t>System_Impact_Study_YorN</t>
  </si>
  <si>
    <t>All_Req_Infrastructure_Identifyied</t>
  </si>
  <si>
    <t>Project_Inservice_for_Local_Planning_Process</t>
  </si>
  <si>
    <t>Financing_Commitment</t>
  </si>
  <si>
    <t>Contact_Street_Address</t>
  </si>
  <si>
    <t>Contact_City</t>
  </si>
  <si>
    <t>Contact_Country</t>
  </si>
  <si>
    <t>Contact_State_Province</t>
  </si>
  <si>
    <t>Contact_Zip</t>
  </si>
  <si>
    <t>Contact2_Street</t>
  </si>
  <si>
    <t>Contact2_City</t>
  </si>
  <si>
    <t>Contact2_Country</t>
  </si>
  <si>
    <t>Contact2_State_Province</t>
  </si>
  <si>
    <t>Contact2_Zip</t>
  </si>
  <si>
    <t>Contact2_Phone</t>
  </si>
  <si>
    <t>End of ScanData</t>
  </si>
  <si>
    <t>Contact2_Name</t>
  </si>
  <si>
    <t>Contact2_Email</t>
  </si>
  <si>
    <t>Selected Project Row</t>
  </si>
  <si>
    <t>Print 890</t>
  </si>
  <si>
    <t>Print 1000</t>
  </si>
  <si>
    <t>Print Both</t>
  </si>
  <si>
    <t>$2:$6</t>
  </si>
  <si>
    <t>Header</t>
  </si>
  <si>
    <t>Range</t>
  </si>
  <si>
    <t>Wide</t>
  </si>
  <si>
    <t>Tall</t>
  </si>
  <si>
    <t>FacilityType</t>
  </si>
  <si>
    <t>Print Parameters for Manual Print</t>
  </si>
  <si>
    <t>Transmission_Service_Agreement_Date</t>
  </si>
  <si>
    <t>Have_Project_Transmission_Service_Agreements</t>
  </si>
  <si>
    <t>Local Project</t>
  </si>
  <si>
    <t>Load-serving</t>
  </si>
  <si>
    <t>Buckeye - TS11 - Sun Valley 230kV Line</t>
  </si>
  <si>
    <t>Sun Valley - TS10 - TS11 230kV Line</t>
  </si>
  <si>
    <t>Orchard - Yucca 230kV Line</t>
  </si>
  <si>
    <t>A new 230kV transmission line to be constructed between the future Orchard substation and the Yucca substation. The project may be constructed with double circuit capability.</t>
  </si>
  <si>
    <t>El Sol - Westwing 230kV Line</t>
  </si>
  <si>
    <t>New high-voltage transmission, originating at the Ault Substation, interconnecting to the Greeley network, and terminating south of Greeley.</t>
  </si>
  <si>
    <t>South of Greeley</t>
  </si>
  <si>
    <t>Glenwood-Rifle 115 kV Upgrade</t>
  </si>
  <si>
    <t>The project consists of the upgrade of the Glenwood Springs – Rifle 69kV line to 115kV.</t>
  </si>
  <si>
    <t>Glenwood Substation</t>
  </si>
  <si>
    <t>Load Service</t>
  </si>
  <si>
    <t>Irvington 138 kV breaker-and-a-half substation</t>
  </si>
  <si>
    <t>Increase system reliability</t>
  </si>
  <si>
    <t>Increase system reliability and allow more flexibility to schedule maintenance outages</t>
  </si>
  <si>
    <t>Greenlee 345 kV Substation</t>
  </si>
  <si>
    <t>Energy Strategies Email Address</t>
  </si>
  <si>
    <t>TimeStamp</t>
  </si>
  <si>
    <t>Increase load serving capability of CO2 loop</t>
  </si>
  <si>
    <t>Lost Canyon</t>
  </si>
  <si>
    <t>Main Switch</t>
  </si>
  <si>
    <t>San Luis Valley-Poncha 230 kV Line #2</t>
  </si>
  <si>
    <t>Construct a second 230 kV transmission line from San Luis Valley to Poncha.</t>
  </si>
  <si>
    <t>Provide reliable and adequate load support to San Luis Valley</t>
  </si>
  <si>
    <t>San Luis Valley</t>
  </si>
  <si>
    <t>Southwest Public Power Resource Agency, Inc.</t>
  </si>
  <si>
    <t>SPPA</t>
  </si>
  <si>
    <t>Southwest Power Group II, LLC</t>
  </si>
  <si>
    <t>SPG2</t>
  </si>
  <si>
    <t>POST_DATE</t>
  </si>
  <si>
    <t>POST DATE</t>
  </si>
  <si>
    <t>SunEdison</t>
  </si>
  <si>
    <t>SE</t>
  </si>
  <si>
    <t>EnviroMission Limited</t>
  </si>
  <si>
    <t>EML</t>
  </si>
  <si>
    <r>
      <t xml:space="preserve">The accuracy of the Project information entered is the responsibility of the individual Project Sponsor and will inform the WestConnect Base Transmission Plan.  
</t>
    </r>
    <r>
      <rPr>
        <b/>
        <u/>
        <sz val="11"/>
        <color rgb="FFFF0000"/>
        <rFont val="Calibri"/>
        <family val="2"/>
        <scheme val="minor"/>
      </rPr>
      <t>Do not</t>
    </r>
    <r>
      <rPr>
        <b/>
        <sz val="11"/>
        <color rgb="FFFF0000"/>
        <rFont val="Calibri"/>
        <family val="2"/>
        <scheme val="minor"/>
      </rPr>
      <t xml:space="preserve"> submit commercially sensitive information.</t>
    </r>
  </si>
  <si>
    <t>Economic</t>
  </si>
  <si>
    <t>Public Policy</t>
  </si>
  <si>
    <t>Lost Canyon - Main Switch 115 kV Line</t>
  </si>
  <si>
    <t>Naranja Substation</t>
  </si>
  <si>
    <t>New 115 kV line into Avon. New capacitor bank at Vail. Normally open line but used for emergency backup.</t>
  </si>
  <si>
    <t>Gilman Substation</t>
  </si>
  <si>
    <t>Avon Substation</t>
  </si>
  <si>
    <t>Weld to Rosedale 230 kV Line</t>
  </si>
  <si>
    <t>Build a 230 kV line from Weld substation to Rosedale substation</t>
  </si>
  <si>
    <t>To reduce the risk of overloading Greeley system during planned and forced outage situations.</t>
  </si>
  <si>
    <t>Weld Substation</t>
  </si>
  <si>
    <t>To increase reliability, load-serving capability and resource accomodation in northeast Greeley.</t>
  </si>
  <si>
    <t>Cloverly Substation</t>
  </si>
  <si>
    <t>Increase reliability and load serving capability to Greeley and southwest Weld County.</t>
  </si>
  <si>
    <t>Komatke 230/69kV Substation</t>
  </si>
  <si>
    <t>Komatke 230/69kV substation to be built adjacent to the existing Jojoba 500kV switchyard; Sec. 25, T2S, R4W.</t>
  </si>
  <si>
    <t>Xcel Energy Western Transmission Company, LLC</t>
  </si>
  <si>
    <t>XEWT</t>
  </si>
  <si>
    <t>American Transmission Company LLC</t>
  </si>
  <si>
    <t>ATC</t>
  </si>
  <si>
    <t>ITC Grid Development, LLC</t>
  </si>
  <si>
    <t>ITC</t>
  </si>
  <si>
    <t>Reliability and Load Service</t>
  </si>
  <si>
    <t>New substation along Geesen - Lorson Ranch 115kV line to serve load</t>
  </si>
  <si>
    <t>Burlington - Burlington (KCEA) 115kV Line Rebuild</t>
  </si>
  <si>
    <t>Burlington (KCEA)</t>
  </si>
  <si>
    <t>Frontier Reactor Addition</t>
  </si>
  <si>
    <t>Add 8MVAR, 115kV shunt reactor at Frontier</t>
  </si>
  <si>
    <t>Improve system voltages</t>
  </si>
  <si>
    <t>Frontier</t>
  </si>
  <si>
    <t>Newman 345</t>
  </si>
  <si>
    <t>Orchard substation</t>
  </si>
  <si>
    <t>Sun Valley substation</t>
  </si>
  <si>
    <t>Buckeye substation</t>
  </si>
  <si>
    <t>TS11 substation</t>
  </si>
  <si>
    <t>Morgan substation</t>
  </si>
  <si>
    <t>Sundance substation</t>
  </si>
  <si>
    <t>Pinal Central substation</t>
  </si>
  <si>
    <t>Yucca substation</t>
  </si>
  <si>
    <t>Westwing substation</t>
  </si>
  <si>
    <t>El Sol substation</t>
  </si>
  <si>
    <t>Load-serving capacity</t>
  </si>
  <si>
    <t>Palm Valley</t>
  </si>
  <si>
    <t>Trilby Wash</t>
  </si>
  <si>
    <t>Sun Valley – Trilby Wash 230kV Line Circuit #2</t>
  </si>
  <si>
    <t>2nd 230 kV circuit between Sun Valley - Trilby Wash</t>
  </si>
  <si>
    <t>Sun Valley</t>
  </si>
  <si>
    <t>Palo Verde – Saguaro 500kV Line</t>
  </si>
  <si>
    <t>New 500 kV line from Palo Verde to Saguaro</t>
  </si>
  <si>
    <t>Transfer Capacity</t>
  </si>
  <si>
    <t>Palo Verde</t>
  </si>
  <si>
    <t>Improve load serving capability to West Golden Valley</t>
  </si>
  <si>
    <t>Reinforce the existing transmission grid and provide interconnection between UNSE load centers in Mohave County.</t>
  </si>
  <si>
    <t>North Loop 138-kV bus</t>
  </si>
  <si>
    <t>Gateway 230/138 kV Substation</t>
  </si>
  <si>
    <t>Sonoita 138-kV Substation</t>
  </si>
  <si>
    <t>Gateway 138-kV Substation</t>
  </si>
  <si>
    <t>Valencia 138-kV Substation</t>
  </si>
  <si>
    <t>Additional reactive power on the system</t>
  </si>
  <si>
    <t>Tortolita Substation</t>
  </si>
  <si>
    <t>Naranja Capacitor Bank Addition</t>
  </si>
  <si>
    <t>Network upgrade to support proposed Gateway substation to support the Mexico AC/DC/AC interconnection</t>
  </si>
  <si>
    <t>Gateway 138-kV Transmission Line (phase 2)</t>
  </si>
  <si>
    <t>Network upgrade required to support the Mexico AC/DC/AC interconnection</t>
  </si>
  <si>
    <t>Kantor Capacitor Bank Addition</t>
  </si>
  <si>
    <t>Kantor Substation</t>
  </si>
  <si>
    <t>To reinforce TEP's EHV system and provide additional capacity for power flow from Palo Verde into TEP's eastern transmission system</t>
  </si>
  <si>
    <t>Construct second circuit from Vail substation to South substation</t>
  </si>
  <si>
    <t>To reinforce TEP's EHV system and provide additional capacity between Vail and South substations</t>
  </si>
  <si>
    <t>To reinforce TEP's EHV system and to provide additional transmission capacity between Springerville and Vail substations</t>
  </si>
  <si>
    <t>To reinforce TEP's EHV system and to provide additional capacity for the flow of power in southern Arizona</t>
  </si>
  <si>
    <t>To deliver power and energy from major TEP interconnections in the Northwest Phoenix area</t>
  </si>
  <si>
    <t>Westwing Substation</t>
  </si>
  <si>
    <t>Gateway to US/Mexico Border 230-kV Transmission Line</t>
  </si>
  <si>
    <t>New 230-kV transmission line for the Mexico AC/DC/AC interconnection</t>
  </si>
  <si>
    <t>Reinforce the existing transmission system and provide interconnection between the Western Interconnection in the U.S. and the Mexico grid</t>
  </si>
  <si>
    <t>New Gateway Substation</t>
  </si>
  <si>
    <t>U.S./Mexico border where line interconnects to Mexico line to substation within Nogales, Sonora</t>
  </si>
  <si>
    <t>Archer</t>
  </si>
  <si>
    <t>Stegall</t>
  </si>
  <si>
    <t>Transmission Service</t>
  </si>
  <si>
    <t>Rosedale - Box Elder - Ennis 115kV</t>
  </si>
  <si>
    <t>Build a new 115 kV transmission line from Rosedale terminating at Ennis Substation. Project built 230kV capable, operated at 115kV</t>
  </si>
  <si>
    <t>Ennis Substation</t>
  </si>
  <si>
    <t>Poncha - Front Range 230 kV transmission line</t>
  </si>
  <si>
    <t xml:space="preserve">Poncha Substation </t>
  </si>
  <si>
    <t>Lago Del Oro 138/13.8 kV Substation</t>
  </si>
  <si>
    <t>DMP 138/46/13.8 kV Substation</t>
  </si>
  <si>
    <t>New substation driven by the Mexico AC/DC/AC project</t>
  </si>
  <si>
    <t>26.4 MVAR capacitor bank added at Naranja Substation</t>
  </si>
  <si>
    <t>Springerville 345 kV Substation</t>
  </si>
  <si>
    <t>Springerville 345 kV bus</t>
  </si>
  <si>
    <t>Greenlee 345 kV bus</t>
  </si>
  <si>
    <t>Vail 345 kV bus</t>
  </si>
  <si>
    <t>Uprate the existing Winchester to Vail 345 kV line by replacing station equipment at Winchester 345 kV bus and Vail 345 kV bus</t>
  </si>
  <si>
    <t>Increase rating on the Winchester - Vail 345 kV line</t>
  </si>
  <si>
    <t>Winchester 345 kV bus</t>
  </si>
  <si>
    <t>Kino 138 kV bus</t>
  </si>
  <si>
    <t>Convert existing DMP 138 kV substation into a breaker-and-a-half</t>
  </si>
  <si>
    <t>DMP 138 kV bus</t>
  </si>
  <si>
    <t>Irvington - East Loop 138 kV Transmission Line</t>
  </si>
  <si>
    <t>New 138 kV Transmission line, Irvington - East Loop line</t>
  </si>
  <si>
    <t>Improve Load Serving Capability in East Tucson, AZ</t>
  </si>
  <si>
    <t>New 138/13.8 kV Substation, loop-in of 22nd Street - East Loop 138 kV line</t>
  </si>
  <si>
    <t>Gateway Capacitor Additions</t>
  </si>
  <si>
    <t>Additional reactive power to support the Mexico AC/DC/AC project</t>
  </si>
  <si>
    <t>Greenlee Capacitor Additions</t>
  </si>
  <si>
    <t>Reconductor Kantor to Canez Transmission line</t>
  </si>
  <si>
    <t>Kantor 138 kV Substation</t>
  </si>
  <si>
    <t>Canez 138 kV Substation</t>
  </si>
  <si>
    <t>Sonoita 138 kV Substation</t>
  </si>
  <si>
    <t>Generator Interconnection</t>
  </si>
  <si>
    <t>Slater</t>
  </si>
  <si>
    <t>Interconnect a new 230/69kV substation into the existing Panda-Freedom 230kV line. Note: There will not be an interconnection with the 500kV Jojoba switchyard.</t>
  </si>
  <si>
    <t>Freedom-Panda 230kV line near the existing Jojoba 500kV switchyard; Sec 25, T2S, R4W</t>
  </si>
  <si>
    <t>TS14 230kV Lines</t>
  </si>
  <si>
    <t>This project is needed to serve load growth in the western Phoenix area.</t>
  </si>
  <si>
    <t>TS14 Substation</t>
  </si>
  <si>
    <t>TS21 500/230kV Substation</t>
  </si>
  <si>
    <t>The project is need to serve growing loadin the south western Phoenix metro area.</t>
  </si>
  <si>
    <t>TS21 Substation</t>
  </si>
  <si>
    <t>Runway 230kV Substation</t>
  </si>
  <si>
    <t>The Three Rivers Substation will be located approximately three and a half miles to the west of the Rudd-White Tanks 230kV line, on the southwest corner of Van Buren Street and Bullard Avenue. The cut-in and extension of the existing line will generally head west to connect to the new Three Rivers substation. Then a second line will be routed from the new substation generally directly east back to the existing line. This will cut the new substation in and out of the existing line. Pending results of the line siting study, portions of the new lines may be double circuit</t>
  </si>
  <si>
    <t>Driving Factor(s): To provide electric energy to a new high load customer in the area. In service date is predicated on ramp rate of customer load</t>
  </si>
  <si>
    <t>Rudd-White Tanks 230kV line</t>
  </si>
  <si>
    <t>Three Rivers 230kV Substation</t>
  </si>
  <si>
    <t>Palm Valley-Trilby Wash 230kV line</t>
  </si>
  <si>
    <t>Contrail 230kV Lines</t>
  </si>
  <si>
    <t>El Sol 230kV Substation</t>
  </si>
  <si>
    <t xml:space="preserve">Ocotillo – Pinnacle Peak 230kV line </t>
  </si>
  <si>
    <t>Broadway 230kV Substation</t>
  </si>
  <si>
    <t>Hogback</t>
  </si>
  <si>
    <t>New distribution substation to offload current distribution circuits.</t>
  </si>
  <si>
    <t>Improve load serving capability and reliability.</t>
  </si>
  <si>
    <t xml:space="preserve">Salt Creek </t>
  </si>
  <si>
    <t>Project Name</t>
  </si>
  <si>
    <t>Deseret Power</t>
  </si>
  <si>
    <t>DP</t>
  </si>
  <si>
    <t>Arizona Electric Power Cooperative</t>
  </si>
  <si>
    <t>AEPCO</t>
  </si>
  <si>
    <t>TC Energy</t>
  </si>
  <si>
    <t>TCE</t>
  </si>
  <si>
    <t>TS17 230kV Substation</t>
  </si>
  <si>
    <t>Monument</t>
  </si>
  <si>
    <t>San Juan Switching Station</t>
  </si>
  <si>
    <t>Rio Puerco Switching Station update for Proxy RPS</t>
  </si>
  <si>
    <t>Renewable Resource Addtions</t>
  </si>
  <si>
    <t>Generation Interconnection Proxy</t>
  </si>
  <si>
    <t>Rio Puerco Switching Station</t>
  </si>
  <si>
    <t>Drivers of Project</t>
  </si>
  <si>
    <t>Project Purpose</t>
  </si>
  <si>
    <t>Project Description</t>
  </si>
  <si>
    <t>Project Sponsor (Entity)</t>
  </si>
  <si>
    <t>WestConnect Project ID</t>
  </si>
  <si>
    <t>Primary Project Voltage</t>
  </si>
  <si>
    <t>Estimated Transfer Capability/Rating (MW)</t>
  </si>
  <si>
    <t>Subregional Planning Group(s)</t>
  </si>
  <si>
    <t>Project Origin Point/Location</t>
  </si>
  <si>
    <t>Project Termination Point</t>
  </si>
  <si>
    <t>Project In-Service Year</t>
  </si>
  <si>
    <t>Project Development Status</t>
  </si>
  <si>
    <t>Facility Type</t>
  </si>
  <si>
    <t>Drivers</t>
  </si>
  <si>
    <t>Primarily reliability &amp; secondarily economic</t>
  </si>
  <si>
    <t>Primarily public policy &amp; secondarily reliability</t>
  </si>
  <si>
    <t>Primarily reliability &amp; secondarily public policy</t>
  </si>
  <si>
    <t>PublicPoliciesInvolved</t>
  </si>
  <si>
    <t>NeededForPublicPolicy_YorN</t>
  </si>
  <si>
    <t>ITD Transmission Criterion 2</t>
  </si>
  <si>
    <t>ITD Transmission Criterion 1</t>
  </si>
  <si>
    <t>ITD Transmission Criterion 3</t>
  </si>
  <si>
    <t>Has a system impact study been completed which has been approved by all interconnecting system facility owner(s) and affected system owner(s)?</t>
  </si>
  <si>
    <t>If the project has undergone a system impact study, does the project definition provided above include any and all infrastructure required to mitigate the surrounding system impact of the project in accordance with applicable NERC criteria?</t>
  </si>
  <si>
    <t>Has the project executed construction or EPC (Engineering, Procurement, Construction) contracts of at least 50% of the project’s total construction/EPC costs?</t>
  </si>
  <si>
    <t>Financial_Arrangments</t>
  </si>
  <si>
    <t>Construction_Commitments</t>
  </si>
  <si>
    <t>If yes, provide details regarding the construction commitments (e.g., contractor, start date).</t>
  </si>
  <si>
    <t>If yes, describe the financial arrangements that enabled the project to execute the contracts.</t>
  </si>
  <si>
    <t>ITD Transmission Criterion 4, Indicator 1</t>
  </si>
  <si>
    <t>ITD Transmission Criterion 4, Indicator 2</t>
  </si>
  <si>
    <t>Does the project have executed binding transmission service agreements (TSAs) with credit-worthy counterparties that allow the project developer to recover at least 70%  of the revenue requirement of the project?</t>
  </si>
  <si>
    <t>ITD Generation Prerequisite Criterion</t>
  </si>
  <si>
    <r>
      <t xml:space="preserve">Has the project been assumed in service for the purposes of a WestConnect TOLSO Member’s local planning process?  </t>
    </r>
    <r>
      <rPr>
        <b/>
        <u/>
        <sz val="8"/>
        <color rgb="FF000000"/>
        <rFont val="Courier New"/>
        <family val="3"/>
      </rPr>
      <t>List all TOLSO Members that apply.</t>
    </r>
  </si>
  <si>
    <r>
      <t xml:space="preserve">The accuracy of the Project information entered is the responsibility of the individual Project Sponsor and will inform the WestConnect Base Transmission Plan.
</t>
    </r>
    <r>
      <rPr>
        <b/>
        <u/>
        <sz val="11"/>
        <color rgb="FFFF0000"/>
        <rFont val="Calibri"/>
        <family val="2"/>
        <scheme val="minor"/>
      </rPr>
      <t>Do not</t>
    </r>
    <r>
      <rPr>
        <b/>
        <sz val="11"/>
        <color rgb="FFFF0000"/>
        <rFont val="Calibri"/>
        <family val="2"/>
        <scheme val="minor"/>
      </rPr>
      <t xml:space="preserve"> submit commercially sensitive information.</t>
    </r>
  </si>
  <si>
    <t>Further_Details</t>
  </si>
  <si>
    <t>Federal_Permit_ROD_YorN</t>
  </si>
  <si>
    <t>Federal_Permit_Required_YorN</t>
  </si>
  <si>
    <t>State_Permit_Required_YorN</t>
  </si>
  <si>
    <t>State_Permit_Obtained_YorN</t>
  </si>
  <si>
    <t>ITD Transmission Criterion 4, Indicator 3</t>
  </si>
  <si>
    <t>ITD Transmission Criterion 4, Indicator 4</t>
  </si>
  <si>
    <t>If yes, has a ROD been issued?</t>
  </si>
  <si>
    <t>If yes, has/have all necessary permits been obtained?</t>
  </si>
  <si>
    <t>ITD Generation Criterion 1</t>
  </si>
  <si>
    <t>ITD Generation Criterion 2</t>
  </si>
  <si>
    <t>Does the generation have binding, FERC approved, transmission service agreements with all WestConnect member entities, as applicable, along the path from source to sink, or at least as far as the WestConnect planning region boundary, including with the non-TOLSO transmission project?</t>
  </si>
  <si>
    <t>Provide the sink of the generation (general area, not necessarily a specific load serving entity) to WestConnect, for modeling purposes.</t>
  </si>
  <si>
    <t>Is/are federal permit(s) required for the project?</t>
  </si>
  <si>
    <t>Is/are state permit(s)  required for the project?</t>
  </si>
  <si>
    <t>Does the generator developer have an interconnection agreement with the interconnecting transmission provider, which is either executed or filed with FERC?</t>
  </si>
  <si>
    <t>Associated_Gen_YorN</t>
  </si>
  <si>
    <t>Provide the generation capacity (MW)</t>
  </si>
  <si>
    <t>Provide the generation technology(ies)</t>
  </si>
  <si>
    <t>Provide the generation point-of-interconnection.</t>
  </si>
  <si>
    <t>Assoc_Gen_Cap</t>
  </si>
  <si>
    <t>Assoc_Gen_Tech</t>
  </si>
  <si>
    <t>Assoc_Gen_POI</t>
  </si>
  <si>
    <t>Assoc_Gen_Sink</t>
  </si>
  <si>
    <t>Assoc_Gen_TSA_YorN</t>
  </si>
  <si>
    <t>Assoc_Gen_IA_YorN</t>
  </si>
  <si>
    <t>Does the non-TOLSO transmission project have associated generation that is requested to be modeled in the WestConnect base cases?</t>
  </si>
  <si>
    <r>
      <t xml:space="preserve">If yes, and:
</t>
    </r>
    <r>
      <rPr>
        <sz val="8"/>
        <color indexed="8"/>
        <rFont val="Calibri"/>
        <family val="2"/>
      </rPr>
      <t xml:space="preserve">▪ </t>
    </r>
    <r>
      <rPr>
        <sz val="8"/>
        <color indexed="8"/>
        <rFont val="Courier New"/>
        <family val="3"/>
      </rPr>
      <t xml:space="preserve">The project developer is FERC-jurisdictional, please provide the date(s) the TSAs were either filed with FERC or included in the developer’s Electric Quarterly Reports, as applicable
</t>
    </r>
    <r>
      <rPr>
        <b/>
        <sz val="8"/>
        <color rgb="FF000000"/>
        <rFont val="Courier New"/>
        <family val="3"/>
      </rPr>
      <t>OR</t>
    </r>
    <r>
      <rPr>
        <sz val="8"/>
        <color indexed="8"/>
        <rFont val="Courier New"/>
        <family val="3"/>
      </rPr>
      <t xml:space="preserve">
▪ The project developer is not FERC-jurisdictional, provide the date(s) of when the TSAs were executed</t>
    </r>
  </si>
  <si>
    <t>WestConnect_TO_YorN</t>
  </si>
  <si>
    <t>Project Drivers:</t>
  </si>
  <si>
    <r>
      <t xml:space="preserve">Additional Order 1000 Data - </t>
    </r>
    <r>
      <rPr>
        <b/>
        <sz val="11"/>
        <color rgb="FFFF0000"/>
        <rFont val="Courier New"/>
        <family val="3"/>
      </rPr>
      <t>Required for Independent Transmission Developers (ITDs)</t>
    </r>
  </si>
  <si>
    <t>Information for Applying ITD Transmission Criteria</t>
  </si>
  <si>
    <t>Information for Applying ITD Generation Criteria</t>
  </si>
  <si>
    <t>$A$7:$C$31</t>
  </si>
  <si>
    <t>$A$32:$C$74</t>
  </si>
  <si>
    <t>$A$7:$C$74</t>
  </si>
  <si>
    <t>END OF FORM</t>
  </si>
  <si>
    <t>If your company is a TOLSO, what specific enacted public policies would no longer be met without this project?
(Put "N/A" if no associated public policies)</t>
  </si>
  <si>
    <t>Is Sponsor a WestConnect TOLSO?</t>
  </si>
  <si>
    <t>Project Contact Name</t>
  </si>
  <si>
    <t>Project Contact Phone</t>
  </si>
  <si>
    <t>Project Contact Email</t>
  </si>
  <si>
    <t>If your company is a TOLSO, is this project needed to meet currently enacted public policy requirement(s)?
(Put "N/A" if not a TOLSO)</t>
  </si>
  <si>
    <t>Belen Phase Shifting Transformer</t>
  </si>
  <si>
    <t>Install phase shifting transformer on the Belen-Soccoro 115 kV line at Belen</t>
  </si>
  <si>
    <t>Address Overloads on the the 115 kV line</t>
  </si>
  <si>
    <t>Reliablity</t>
  </si>
  <si>
    <t>Belen 115 kV station</t>
  </si>
  <si>
    <t>San Juan North 345 kV Station</t>
  </si>
  <si>
    <t>New 345 kV Satellite to San Juan Switching Station</t>
  </si>
  <si>
    <t>New 345 kV Station to interconnect generation</t>
  </si>
  <si>
    <t>Generation Interconnection</t>
  </si>
  <si>
    <t>Transmission improvements required for the interconnection of new generation.</t>
  </si>
  <si>
    <t>Central New Mexico</t>
  </si>
  <si>
    <t>Transmission Switching Station for generation interconnection</t>
  </si>
  <si>
    <t>Rio Puerco</t>
  </si>
  <si>
    <t xml:space="preserve">West Mesa </t>
  </si>
  <si>
    <t>New Mexico 2019 State Bill 489: Energy Transition Act</t>
  </si>
  <si>
    <t>Cal-Mex TX</t>
  </si>
  <si>
    <t>CMT</t>
  </si>
  <si>
    <t>Load Growth</t>
  </si>
  <si>
    <t>Voltage and Reactive Support</t>
  </si>
  <si>
    <t>Reliability and System Reconfiguration</t>
  </si>
  <si>
    <t>Relieves potential thermal overloads under contingencies.</t>
  </si>
  <si>
    <t>Newman</t>
  </si>
  <si>
    <t>Chaparral</t>
  </si>
  <si>
    <t>Improves Reliability</t>
  </si>
  <si>
    <t>Caliente</t>
  </si>
  <si>
    <t>Amrad</t>
  </si>
  <si>
    <t>MPS</t>
  </si>
  <si>
    <t>New bus shunt capacitor banks connected to a 115 kV bus.</t>
  </si>
  <si>
    <t>Apollo</t>
  </si>
  <si>
    <t>McCombs Substation (New) and Related 115 kV Line Reconfiguration</t>
  </si>
  <si>
    <t>McCombs</t>
  </si>
  <si>
    <t>Jornada-Arroyo 115 kV Line (Reconductor/Rebuild)</t>
  </si>
  <si>
    <t>Arroyo</t>
  </si>
  <si>
    <t>Moongate</t>
  </si>
  <si>
    <t>Afton-Afton North 345 kV Double Bundled Line (New)</t>
  </si>
  <si>
    <t>Roberts</t>
  </si>
  <si>
    <t>Vado</t>
  </si>
  <si>
    <t>Seabeck Switching Station 115 kV (New)</t>
  </si>
  <si>
    <t>Seabeck</t>
  </si>
  <si>
    <t>Horizon</t>
  </si>
  <si>
    <t>San Felipe</t>
  </si>
  <si>
    <t>Reliability and System Expansion</t>
  </si>
  <si>
    <t>Pine</t>
  </si>
  <si>
    <t>Pine-Seabeck 115 kV Line (New)</t>
  </si>
  <si>
    <t>Rio Grande</t>
  </si>
  <si>
    <t>Sunset</t>
  </si>
  <si>
    <t>Reliability, Load Growth, and System Reconfiguration</t>
  </si>
  <si>
    <t>Salopek</t>
  </si>
  <si>
    <t>Anthony</t>
  </si>
  <si>
    <t>Rio Grande-Sunset North 115 kV Line (Rebuild/Reconductor)</t>
  </si>
  <si>
    <t>Sunset North</t>
  </si>
  <si>
    <t>Rodriguez 115/13.2 kV Distribution Substation</t>
  </si>
  <si>
    <t>BHCT-G29 Substation</t>
  </si>
  <si>
    <t>200 MW Solar LGI</t>
  </si>
  <si>
    <t>Campstool 115 kV Substation</t>
  </si>
  <si>
    <t>Cheyenne, WY</t>
  </si>
  <si>
    <t>Bison 115 kV Substation</t>
  </si>
  <si>
    <t>115 kV Substation</t>
  </si>
  <si>
    <t>CPGS 115 kV Substation</t>
  </si>
  <si>
    <t>Sweetgrass 115 kV Substation</t>
  </si>
  <si>
    <t>115 kV Line</t>
  </si>
  <si>
    <t>Orchard Valley 115 kV Substation</t>
  </si>
  <si>
    <t>Serving Load</t>
  </si>
  <si>
    <t>Multiple</t>
  </si>
  <si>
    <t>Allison Draw 115 kV Substation</t>
  </si>
  <si>
    <t>Bison - Orchard Valley 115 kV Line</t>
  </si>
  <si>
    <t>Orchard Valley - King Ranch 115 kV Line</t>
  </si>
  <si>
    <t>King Ranch 115 kV Substation</t>
  </si>
  <si>
    <t>Bison - West Cheyenne 115 kV Line</t>
  </si>
  <si>
    <t>115 kV line</t>
  </si>
  <si>
    <t>West Cheyenne 115 kV Substation</t>
  </si>
  <si>
    <t>Happy Jack - North Range #2 115 kV Line</t>
  </si>
  <si>
    <t xml:space="preserve">Reliability </t>
  </si>
  <si>
    <t>Happy Jack 115 kV Substation</t>
  </si>
  <si>
    <t>North Range 115 kV Substation</t>
  </si>
  <si>
    <t>Allison Draw - Campstool 115 kV Line</t>
  </si>
  <si>
    <t>Allison Draw - CPGS 115 kV Line</t>
  </si>
  <si>
    <t>Bluffs 230 kV Substation</t>
  </si>
  <si>
    <t>230 kV Substation</t>
  </si>
  <si>
    <t>Sweetgrass 230 kV Substation</t>
  </si>
  <si>
    <t>Sweetgrass - Bluffs 230 kV Line</t>
  </si>
  <si>
    <t>230 kV Line</t>
  </si>
  <si>
    <t>West Cheyenne 230 kV Substation</t>
  </si>
  <si>
    <t>Cheyenne, Wy</t>
  </si>
  <si>
    <t>West Cheyenne - Sweetgrass 230 kV Line</t>
  </si>
  <si>
    <t>West Cheyenne - Windstar 230 kV Line</t>
  </si>
  <si>
    <t>Windstar 230 kV Substation</t>
  </si>
  <si>
    <t>Gilman-Avon 115 kV Transmission Line</t>
  </si>
  <si>
    <t>Ault-Cloverly Transmission Project</t>
  </si>
  <si>
    <t>Project will access and deliver renewable resources in the region.</t>
  </si>
  <si>
    <t>Colorado HB 19-236</t>
  </si>
  <si>
    <t xml:space="preserve">Fort St. Vrain </t>
  </si>
  <si>
    <t>Harvest Mile</t>
  </si>
  <si>
    <t>Pueblo, CO</t>
  </si>
  <si>
    <t>Daniels Park to Prairie Reconductor 230kV</t>
  </si>
  <si>
    <t>Reconductor existing 230kV line</t>
  </si>
  <si>
    <t>Increase in rating</t>
  </si>
  <si>
    <t>Daniels Park substation</t>
  </si>
  <si>
    <t xml:space="preserve">Prairie substation </t>
  </si>
  <si>
    <t>Increase transformer rating</t>
  </si>
  <si>
    <t>Save</t>
  </si>
  <si>
    <t>Load Serving/Reliability</t>
  </si>
  <si>
    <t>Lago Del Oro 138 kV bus</t>
  </si>
  <si>
    <t>Craycroft-Barril 138/13.8 kV Substation</t>
  </si>
  <si>
    <t>Economic/Reliability</t>
  </si>
  <si>
    <t>New substation, loop-in of South - Green Valley 138 kV line</t>
  </si>
  <si>
    <t>New double circuit line to loop-in Tortolita - North Loop 138kV line #118.</t>
  </si>
  <si>
    <t>Economic/Load Serving</t>
  </si>
  <si>
    <t>New 138kV Naranja substation.</t>
  </si>
  <si>
    <t>Reliability/Load Serving</t>
  </si>
  <si>
    <t>La Canada 138/13.8 kV Substation</t>
  </si>
  <si>
    <t>South Loop 138 kV, Conversion to breaker-and-a-half substation</t>
  </si>
  <si>
    <t>Convert existing South Loop 138 kV substation into a breaker-and-a-half substation</t>
  </si>
  <si>
    <t>South Loop 138 kV substation</t>
  </si>
  <si>
    <t>Olsen 138/13.8 kV Substation</t>
  </si>
  <si>
    <t>New 138/13.8 kV Substation, loop-in Kino - Vine (future) 138 kV line</t>
  </si>
  <si>
    <t>Vine 138 kV bus</t>
  </si>
  <si>
    <t>Rio Rico Capacitor Bank Addition</t>
  </si>
  <si>
    <t>One 13.2 MVAR capacitor bank, one 26.4 MVAR capacitor bank, and one 39.6 MVAR capacitor bank at Rio Rico 138 kV switchyard</t>
  </si>
  <si>
    <t>Additional reactive power on the system to support the Hermosa mine project</t>
  </si>
  <si>
    <t>Rio Rico Switchyard</t>
  </si>
  <si>
    <t>Convert existing East Loop 138 kV substation into a breaker-and-a-half substation</t>
  </si>
  <si>
    <t>Orange Grove Capacitor Bank Addition</t>
  </si>
  <si>
    <t>One 26.4 MVAR capacitor bank added at Orange Grove</t>
  </si>
  <si>
    <t>Orange Grove Substation</t>
  </si>
  <si>
    <t>Increase TTC at Pinal West to accommodate an Economic Service Request</t>
  </si>
  <si>
    <t>Arizona Renewable Energy Standard (Arizona 15% RDP by 2025)</t>
  </si>
  <si>
    <t>Milk Creek</t>
  </si>
  <si>
    <t>Monument Project</t>
  </si>
  <si>
    <t>Rebuild Monument Substation as breaker and a half</t>
  </si>
  <si>
    <t>Slater Double Circuit Project</t>
  </si>
  <si>
    <t>Rebuild the Del Camino Tap – Slater 115 kV line as a double circuit line, creating separate Slater-Meadow and Slater-Longs Peak 115 kV lines.</t>
  </si>
  <si>
    <t>Reliability, increase load serving</t>
  </si>
  <si>
    <t>Del Camino Tap</t>
  </si>
  <si>
    <t>Burlington - Lamar 230 kV</t>
  </si>
  <si>
    <t>Support renewable resource development in eastern Colorado</t>
  </si>
  <si>
    <t>Boone - Huckleberry 230 kV</t>
  </si>
  <si>
    <t>Huckleberry</t>
  </si>
  <si>
    <t>Badger Creek - Big Sandy 230 kV</t>
  </si>
  <si>
    <t>Sectionalize Story - Henry Lake 230 kV at new Badger Creek Substation. Construct Badger Creek - Big Sandy 230 kV</t>
  </si>
  <si>
    <t>Badger Creek</t>
  </si>
  <si>
    <t>Big Sandy</t>
  </si>
  <si>
    <t>Big Sandy - Burlington 230 kV Uprate</t>
  </si>
  <si>
    <t>Archer - Stegall Sectionalization Project</t>
  </si>
  <si>
    <t>Sectionalize Archer - Stegall 115 kV line by adding breakers at both Round Top Substation and Pole Creek Substation</t>
  </si>
  <si>
    <t>Three Rivers 230kV Transmission Line Project</t>
  </si>
  <si>
    <t>Runway Additional 230kV Lines</t>
  </si>
  <si>
    <t>Rudd-White Tanks and White Tanks-West Phoenix 230kV line corridor</t>
  </si>
  <si>
    <t>TS22 500/230kV Substation</t>
  </si>
  <si>
    <t>Jojoba Substation</t>
  </si>
  <si>
    <t>North Gila – Orchard 230kV Line Circuit #2</t>
  </si>
  <si>
    <t>Second 230kV circuit North Gila - Orchard</t>
  </si>
  <si>
    <t xml:space="preserve">Relability </t>
  </si>
  <si>
    <t>North Gila Substation</t>
  </si>
  <si>
    <t>Orchard Susbtation</t>
  </si>
  <si>
    <t>Colorado House Bill 19-1261 &amp; Colorado House Bill 21-1266</t>
  </si>
  <si>
    <t>New Mexico Senate Bill 19-489</t>
  </si>
  <si>
    <t>Generation</t>
  </si>
  <si>
    <t>Milk Creek Switchyard on Craig-Meeker 345kV line</t>
  </si>
  <si>
    <t>Construct a new Milk Creek Switchyard sectionalizing Craig-Meeker 345kV to accommodate generator interconnection</t>
  </si>
  <si>
    <t>Breaker Addition at Cahone Substation</t>
  </si>
  <si>
    <t>Add a new 115 kV bay at Cahone Substation to accommodate a generator interconnection</t>
  </si>
  <si>
    <t>Breaker Addition at Main Switch Substation</t>
  </si>
  <si>
    <t>Add a new 115 kV at Main Switch to accommodate a generator interconnection</t>
  </si>
  <si>
    <t>Add a 230 kV breaker to the Escalante Substation ring bus to accommodate a generator interconnection</t>
  </si>
  <si>
    <t>Escalante Substation</t>
  </si>
  <si>
    <t>Valent Switchyard on Walsenburg - Gladstone 230 kV line</t>
  </si>
  <si>
    <t>Construct a new Valent Switchyard on the Walsenburg - Gladstone 230 kV line to accommodate a generator interconnection</t>
  </si>
  <si>
    <t>Valent Switchyard</t>
  </si>
  <si>
    <t>Length</t>
  </si>
  <si>
    <t>Cost</t>
  </si>
  <si>
    <t>StateTraversed</t>
  </si>
  <si>
    <t>Broadway 230kV Lines</t>
  </si>
  <si>
    <t>TS17 230kV Lines</t>
  </si>
  <si>
    <t>Colorado's Power Pathway</t>
  </si>
  <si>
    <t>Midway Transformer Upgrade</t>
  </si>
  <si>
    <t>Stagecoach Switching Station</t>
  </si>
  <si>
    <t>Weld County Expansion Project</t>
  </si>
  <si>
    <t>Breaker Addition at Escalante Substation</t>
  </si>
  <si>
    <t>A new 230 substation and associated lines.</t>
  </si>
  <si>
    <t>A new 500/230kV substation located in southwest Phoenix metro area. The susbtation will be constructed when needed as the load continues to grow. Currently, the need date is beyond the 10 year planning horizon.</t>
  </si>
  <si>
    <t>New double circuit 345kV transmission expansion in eastern Colorado will include four new substations along the route. Project will also include expansion at four existing substations.</t>
  </si>
  <si>
    <t>Replace existing 230/115kV transformer</t>
  </si>
  <si>
    <t>A 230kV switching station tapping Comanche to Midway 230kV line.</t>
  </si>
  <si>
    <t>Construct a 230 kV transmission line from the Poncha substation to terminate at a location in the Front Range.</t>
  </si>
  <si>
    <t>Construction of a new distribution substation by tapping PRPA’s Horseshoe – West 115 kV transmission line. This new substation will be located near Wilson Ave and LCR 28 in Loveland, CO.</t>
  </si>
  <si>
    <t>Structure replacements along the existing Big Sandy -Windtalker - Landsman Ck - Burlington 230 kV line</t>
  </si>
  <si>
    <t>Sectionalize Comanche - Walsenburg near Comanche at new Huckleberry Substation. Construct Boone - Hucklberry 230 kV line.</t>
  </si>
  <si>
    <t>Rebuild existing Burlington - Burlington (KCEA) 115kV line</t>
  </si>
  <si>
    <t>Construct a new Burlington - Lamar 230 kV line</t>
  </si>
  <si>
    <t>New 115 kV transmission line between Lost Canyon and Main Switch Substations.</t>
  </si>
  <si>
    <t>Construction of two new 115 kV lines with corresponding substation additions: 1) 32 mile, 795 ACSR between Gladstone and Springer substations; and 2) 29 mile, 1272 ACSR between the southern terminus of the Gladstone-Hess 115 kV line and the southern terminus of the Clapham-Bravo Dome 115 kV line.</t>
  </si>
  <si>
    <t>Two 40.0 MVAC capacitor banks added for a total of 80 MVAR added to the Gateway substation to support the Mexico AC/DC/AC project</t>
  </si>
  <si>
    <t>Enables interconnection.</t>
  </si>
  <si>
    <t>Additional reactive power on the system. Actual location of reactive devices will most likely be on lower voltage system. Discussions are taking place, and project will be updated when more information is available.</t>
  </si>
  <si>
    <t>Apollo-Cox Line 69 kV to 115 kV (Moongate-Apollo Portion - Rebuild)</t>
  </si>
  <si>
    <t>2025-1265</t>
  </si>
  <si>
    <t>Project Details</t>
  </si>
  <si>
    <t>Project Estimated Cost ($)</t>
  </si>
  <si>
    <t>State(s) Traversed</t>
  </si>
  <si>
    <t>Project Length (miles)
(Put "NA" for non-transmission line projects)</t>
  </si>
  <si>
    <t>EL Rio Sol Transmission, LLC</t>
  </si>
  <si>
    <t>ERST</t>
  </si>
  <si>
    <t>NGIV2, LLC</t>
  </si>
  <si>
    <t>NGIV2</t>
  </si>
  <si>
    <t>Arizona</t>
  </si>
  <si>
    <t>In-Service</t>
  </si>
  <si>
    <t>NA</t>
  </si>
  <si>
    <t>Colorado</t>
  </si>
  <si>
    <t>New Mexico</t>
  </si>
  <si>
    <t>2027-315</t>
  </si>
  <si>
    <t>Verde 115 kV Substation (Load Serving Station Portion Added), 115/24kV 50 MVA Transformer Addition</t>
  </si>
  <si>
    <t>Verde</t>
  </si>
  <si>
    <t>Texas</t>
  </si>
  <si>
    <t>2028-1001</t>
  </si>
  <si>
    <t>Afton-Newman 345kV Line Reconfiguration, In and Out in Vado 345 kV Substation</t>
  </si>
  <si>
    <t>2026-1249</t>
  </si>
  <si>
    <t>Caliente-MPS 16700 115 kV Line (Partial Reconductor)</t>
  </si>
  <si>
    <t>The project consists of partially reconductoring the Caliente-MPS 16700 115 kV line transmission line.</t>
  </si>
  <si>
    <t>2027-1253</t>
  </si>
  <si>
    <t>2027-1254</t>
  </si>
  <si>
    <t>2027-1255</t>
  </si>
  <si>
    <t>Moongate-Apollo 115 kV line reconfiguation</t>
  </si>
  <si>
    <t>2028-1256</t>
  </si>
  <si>
    <t>Afton North 345 kV Substation (New)</t>
  </si>
  <si>
    <t>A planned 345 kV substation in southern New Mexico will enhance system reliability. The Afton North 345 kV bus will be used to connect a 345 kV line from Afton North Substation into the proposed Vado Substation in 2028 as well as a 345 kV radial line from Afton North Substation to Airport Substation in 2028.</t>
  </si>
  <si>
    <t>2028-1257</t>
  </si>
  <si>
    <t xml:space="preserve">A 345 kV double bundled transmission line is planned to connect the Afton Substation to the new Afton North Substation in southern New Mexico. </t>
  </si>
  <si>
    <t>2028-1261</t>
  </si>
  <si>
    <t>Vado Substation 345/115 kV (New)</t>
  </si>
  <si>
    <t>The addition of Vado 345/115 kV Substation involves several elements that will be listed out separately in the TPPL.</t>
  </si>
  <si>
    <t>2029-1262</t>
  </si>
  <si>
    <t>This project involves the construction of a new Seabeck 115 kV Switching Station that will be part of the East Side Loop Expansion Project.</t>
  </si>
  <si>
    <t>2029-1263</t>
  </si>
  <si>
    <t>Seabeck-Horizon 115 kV Line (Rebuild, Upgrade)</t>
  </si>
  <si>
    <t>2029-1264</t>
  </si>
  <si>
    <t>San Felipe Substation 115/69 kV (New) &amp; 1 X 115/69 kV Autotransformer</t>
  </si>
  <si>
    <t>The project consists of constructing a new San Felipe Substation 115/69 kV that will be part of the East Side Loop Expansion Project.</t>
  </si>
  <si>
    <t>2027-1266</t>
  </si>
  <si>
    <t>Sparks-San Felipe Line (Voltage Conversion, Rebuild, Reconductor) 69 kV to 115 kV</t>
  </si>
  <si>
    <t>This project will involve the conversion and reconductoring the Sparks- San Felipe transmission line from 69 kV to 115 kV.</t>
  </si>
  <si>
    <t>2026-1267</t>
  </si>
  <si>
    <t xml:space="preserve">San Felipe (New) 115 kV Capacitors (2 x 15.9 MVAR) </t>
  </si>
  <si>
    <t>2027-1268</t>
  </si>
  <si>
    <t>2029-1269</t>
  </si>
  <si>
    <t>This project consists of constructing a new 115 kV transmission line from Pine to Seabeck.</t>
  </si>
  <si>
    <t>2028-1270</t>
  </si>
  <si>
    <t>Marvin-Pine 115kV Line (Reconductor)</t>
  </si>
  <si>
    <t>This project consists of reconductoring the Marvin to Pine 115 kV transmission line.</t>
  </si>
  <si>
    <t>Marvin</t>
  </si>
  <si>
    <t>2024-1271</t>
  </si>
  <si>
    <t>Rio Grande-Sunset 69 kV Lines (5500/5600) (Rebuild, Reconductor)</t>
  </si>
  <si>
    <t>2028-1274</t>
  </si>
  <si>
    <t>Vado-Salopek 115 kV Line (Rebuild, Reconductor)</t>
  </si>
  <si>
    <t>2027-1275</t>
  </si>
  <si>
    <t>New Amrad SVC device connecting on high-voltage side to Amrad 345 kV side using its own dedicated step-up transformer to a dedicated bay.</t>
  </si>
  <si>
    <t>2028-1278</t>
  </si>
  <si>
    <t>Anthony-Vado 115 kV Line (Rebuild, Reconductor)</t>
  </si>
  <si>
    <t>2028-1283</t>
  </si>
  <si>
    <t>2027-1284</t>
  </si>
  <si>
    <t>2028-1286</t>
  </si>
  <si>
    <t>Leasburg Substation 115 kV (New)</t>
  </si>
  <si>
    <t>2027-1416</t>
  </si>
  <si>
    <t>2024-1432</t>
  </si>
  <si>
    <t>Eastlake Temporary Substation (New) and Related 115 kV  line reconfiguration</t>
  </si>
  <si>
    <t>To accommodate load growth in East El Paso</t>
  </si>
  <si>
    <t>Eastlake</t>
  </si>
  <si>
    <t>2024-1433</t>
  </si>
  <si>
    <t>Verde 115 kV Switching Station (New) and Related 115 kV Line Reconfiguration</t>
  </si>
  <si>
    <t>This is a new switching station to connect to a generation addition.</t>
  </si>
  <si>
    <t>2024-1434</t>
  </si>
  <si>
    <t>Austin-Marlow 115 kV Line (Rebuild, Reconductor)</t>
  </si>
  <si>
    <t>Relieves potential thermal overloads under contingencies</t>
  </si>
  <si>
    <t>Austin</t>
  </si>
  <si>
    <t>Marlow</t>
  </si>
  <si>
    <t>2024-1435</t>
  </si>
  <si>
    <t>Clint-Valley 69 kV Line (Rebuild, Reconductor)</t>
  </si>
  <si>
    <t>Clint</t>
  </si>
  <si>
    <t>Valley</t>
  </si>
  <si>
    <t>2024-1436</t>
  </si>
  <si>
    <t>Lane-Americas 69 kV Line (Reconductor)</t>
  </si>
  <si>
    <t>Lane</t>
  </si>
  <si>
    <t>Americas</t>
  </si>
  <si>
    <t>2024-1437</t>
  </si>
  <si>
    <t>Lane-Wrangler 115 kV Line (Rebuild, Reconductor)</t>
  </si>
  <si>
    <t>Wrangler</t>
  </si>
  <si>
    <t>2024-1438</t>
  </si>
  <si>
    <t>Rio Bosque-Ascarate 69 kV Line (Reconductor)</t>
  </si>
  <si>
    <t>Rio Bosque</t>
  </si>
  <si>
    <t>Ascarate</t>
  </si>
  <si>
    <t>2024-1439</t>
  </si>
  <si>
    <t>Sparks-Felipe 69 kV Line (Rebuild, Reconductor)</t>
  </si>
  <si>
    <t>Felipe</t>
  </si>
  <si>
    <t>2024-1440</t>
  </si>
  <si>
    <t>Westside Temporary Substation (New) and Related 115 kV Line Reconfiguration</t>
  </si>
  <si>
    <t xml:space="preserve">Westside Temporary </t>
  </si>
  <si>
    <t>Westside Temporary</t>
  </si>
  <si>
    <t>2025-1441</t>
  </si>
  <si>
    <t>Ascarate-Trowbridge 115 kV Line (Reconductor)</t>
  </si>
  <si>
    <t>Trowbridge</t>
  </si>
  <si>
    <t>2025-1442</t>
  </si>
  <si>
    <t>Hawkins Substation 69 kV (New) and Line Reconfiguration</t>
  </si>
  <si>
    <t>To accommodate load growth</t>
  </si>
  <si>
    <t>Hawkins</t>
  </si>
  <si>
    <t>2025-1443</t>
  </si>
  <si>
    <t>2025-1444</t>
  </si>
  <si>
    <t>Pellicano-Montwood 115 kV Line (Reconductor)</t>
  </si>
  <si>
    <t>Pellicano</t>
  </si>
  <si>
    <t>Montwood</t>
  </si>
  <si>
    <t>2025-1445</t>
  </si>
  <si>
    <t>WS2 Substation (New) and Related 115 kV Line Reconfiguration</t>
  </si>
  <si>
    <t>WS2</t>
  </si>
  <si>
    <t>2026-1447</t>
  </si>
  <si>
    <t>Eastlake Substation (New) and Related 115 kV Line Reconductor and Reconfiguration</t>
  </si>
  <si>
    <t>2026-1448</t>
  </si>
  <si>
    <t>2027-1449</t>
  </si>
  <si>
    <t>Wrangler-Eastlake 115 kV Line (Rebuild, Reconductor)</t>
  </si>
  <si>
    <t>2027-1450</t>
  </si>
  <si>
    <t>Arroyo Variable Line Shunt Reactor (50-100 MVAR) on the Arroyo end of the West Mesa-Arroyo 345 kV Line</t>
  </si>
  <si>
    <t>Voltage Support and Line Switching</t>
  </si>
  <si>
    <t>2028-1452</t>
  </si>
  <si>
    <t>Afton North-Airport 345 kV Line (New)</t>
  </si>
  <si>
    <t>The purpose of this transmission line is to improve reliability to Airport Substation.</t>
  </si>
  <si>
    <t>2028-1454</t>
  </si>
  <si>
    <t>Airport 345/115 kV Autotransformer (New)</t>
  </si>
  <si>
    <t>Load serving, load growth, reliability, and reconfiguration</t>
  </si>
  <si>
    <t>2028-1455</t>
  </si>
  <si>
    <t>Airport 345/115/24 kV Substation</t>
  </si>
  <si>
    <t>2028-1456</t>
  </si>
  <si>
    <t>Load serving, load growth</t>
  </si>
  <si>
    <t>2028-1457</t>
  </si>
  <si>
    <t>Artesia/Eddy HVDC Tie Replacement (New)</t>
  </si>
  <si>
    <t>Reliability, Equipment replacement</t>
  </si>
  <si>
    <t>Artesia</t>
  </si>
  <si>
    <t>2028-1458</t>
  </si>
  <si>
    <t>WS1 Substation (New) and Related 115 kV Line Reconfiguration</t>
  </si>
  <si>
    <t>WS1</t>
  </si>
  <si>
    <t>2028-1459</t>
  </si>
  <si>
    <t>McNutt Substation (New) and Related 115 kV Line Reconfiguration</t>
  </si>
  <si>
    <t>McNutt</t>
  </si>
  <si>
    <t xml:space="preserve">Near Macho Springs
</t>
  </si>
  <si>
    <t>2026-1461</t>
  </si>
  <si>
    <t>Caliente-MPS 115 kV Circuits 2 &amp; 3 Common Structure
Separation</t>
  </si>
  <si>
    <t>Caliente-MPS 115 kV transmission lines Circuits 2 &amp; 3 Common Structure Separation</t>
  </si>
  <si>
    <t>2029-1462</t>
  </si>
  <si>
    <t>EA1 Substation (New) and Related 115 kV Line Reconfiguration</t>
  </si>
  <si>
    <t>EA1</t>
  </si>
  <si>
    <t>2029-1463</t>
  </si>
  <si>
    <t>FE7 115 kV Substation (New) and Related 115 kV Line Reconfiguration</t>
  </si>
  <si>
    <t>FE7</t>
  </si>
  <si>
    <t>2030-1466</t>
  </si>
  <si>
    <t xml:space="preserve">Marlow-Trowbridge 115 kV Line (Rebuild, Reconductor)
</t>
  </si>
  <si>
    <t xml:space="preserve">Marlow
</t>
  </si>
  <si>
    <t>2030-1467</t>
  </si>
  <si>
    <t>Newman-McCombs 115 kV Line Circuit 1 (Reconductor)</t>
  </si>
  <si>
    <t>2030-1468</t>
  </si>
  <si>
    <t>Newman-McCombs 115 kV Line Circuit 2 (Reconductor)</t>
  </si>
  <si>
    <t>2031-1470</t>
  </si>
  <si>
    <t>NE3 Substation (New) and Related 115 kV Line Reconfiguration</t>
  </si>
  <si>
    <t>NE3</t>
  </si>
  <si>
    <t>Dyer</t>
  </si>
  <si>
    <t>2032-1474</t>
  </si>
  <si>
    <t>Newman-Roberts 115 kV Line Circuit 1 (Reconductor)</t>
  </si>
  <si>
    <t>New Sun Switching Station</t>
  </si>
  <si>
    <t>Transmission improvement required to interconnect Sky Ranch generation. Includes new 115 kV station (Sun Ranch) on Belen-Huning Ranch 115 kV line, upgrade of existing Belen-Huning Ranch 115 kV line from Sun Ranch-Huning Ranch, new 115 kV line from Sun Ranch to Rattlesnake 115 kV, and conversion of existing Tome-Belen 46 kV line to 115 kV.</t>
  </si>
  <si>
    <t>Quail Ranch Switching Station</t>
  </si>
  <si>
    <t>Hidden Mountain Switching Station</t>
  </si>
  <si>
    <t>Transmission Switching Station on Western Spirit-Pajarito 345 kV line.</t>
  </si>
  <si>
    <t>Transmission System improvements required for serving new loads.</t>
  </si>
  <si>
    <t>New Load Serving</t>
  </si>
  <si>
    <t>West Mesa</t>
  </si>
  <si>
    <t>Pajarito</t>
  </si>
  <si>
    <t>Build new 230/115 kV transmission and three new substations.</t>
  </si>
  <si>
    <t>Metro Water Recovery Trans Service, Sub</t>
  </si>
  <si>
    <t>Construct new substation by looping in  Cherokee - Thornton 115kV to serve new load</t>
  </si>
  <si>
    <t>Cherokee</t>
  </si>
  <si>
    <t>Thornton</t>
  </si>
  <si>
    <t>Kestrel Substation</t>
  </si>
  <si>
    <t>Construct a new Kestrel Substation that would tap PSCo's Spruce - Chambers 230kV line.</t>
  </si>
  <si>
    <t>Spruce</t>
  </si>
  <si>
    <t>Chambers</t>
  </si>
  <si>
    <t>Poder (Formerly Stock Show) Distribution Substation </t>
  </si>
  <si>
    <t>New distribution substation that would tap PSCo's California Tap-Mapleton 115kV</t>
  </si>
  <si>
    <t>California Tap</t>
  </si>
  <si>
    <t>Mapleton</t>
  </si>
  <si>
    <t>Husky Substation</t>
  </si>
  <si>
    <t>230/115 kV substation as part of the Ault-Cloverly Transmission Project</t>
  </si>
  <si>
    <t>Load Serving &amp; Reliability</t>
  </si>
  <si>
    <t>Husky</t>
  </si>
  <si>
    <t>Collins Street Substation</t>
  </si>
  <si>
    <t>115 kV substation as part of the Ault-Cloverly Transmission Project</t>
  </si>
  <si>
    <t>Collins Street</t>
  </si>
  <si>
    <t>Sandstone Switching Station</t>
  </si>
  <si>
    <t>345 kV switching station as part of the Colorado's Power Pathway. Substation will be constructed in place of much of the originally planned expansion of the Tundra Switching Station.</t>
  </si>
  <si>
    <t>Sandstone</t>
  </si>
  <si>
    <t>Wyoming</t>
  </si>
  <si>
    <t>Rolling Meadows Substation</t>
  </si>
  <si>
    <t>Rolling Meadows</t>
  </si>
  <si>
    <t>Crosspoint Substation</t>
  </si>
  <si>
    <t>New Substation along Lincoln - Midway 230 kV line</t>
  </si>
  <si>
    <t>Sulfur Creek Tap</t>
  </si>
  <si>
    <t>New delivery point along Meeker - Axial 138 kV line</t>
  </si>
  <si>
    <t>La Junta Tie</t>
  </si>
  <si>
    <t>Construct new 115 kV line to connect Tri-State's La Junta substation with BHEC's La Junta substation</t>
  </si>
  <si>
    <t>La Junta (TSGT)</t>
  </si>
  <si>
    <t>La Junta (BHEC)</t>
  </si>
  <si>
    <t>Breaker Addition at Sidney Substation</t>
  </si>
  <si>
    <t>Add a new 115 kV bay at Sidney Substation to accommodate a generator interconnection</t>
  </si>
  <si>
    <t>Sidney</t>
  </si>
  <si>
    <t>Nebraska</t>
  </si>
  <si>
    <t>Breaker Addition at Garnet Mesa</t>
  </si>
  <si>
    <t>Add a new 115 kV bay at Garnet Mesa Substation to accommodate a generator interconnection</t>
  </si>
  <si>
    <t>Garnet Mesa</t>
  </si>
  <si>
    <t>Breaker Addition at Hesperus Substation</t>
  </si>
  <si>
    <t>Add a new 115 kV bay at Hesperus Substation to accommodate a generator interconnection</t>
  </si>
  <si>
    <t>Hesperus</t>
  </si>
  <si>
    <t>Grier 138/13.8 kV Substation</t>
  </si>
  <si>
    <t>Grier 138-kV Transmission Line</t>
  </si>
  <si>
    <t>Grier 138-kV bus</t>
  </si>
  <si>
    <t>New double circuit 138 kV transmission line from the future Rio Rico Switchyard (2027) to existing Valencia 138 kV substation, loop-in the new Gateway 138 kV substation</t>
  </si>
  <si>
    <t>New single circuit 138-kV transmission line from Gateway to the existing Valencia 138-kV substation. Re-configure transmission line so Vail-Gateway &amp; Vail-Kantor-Canez-Sonoita-Gateway share double circuit towers and Gateway-Valencia is on a separate single transmission tower</t>
  </si>
  <si>
    <t>One 26.4 MVAR capacitor bank added at Kantor Substation</t>
  </si>
  <si>
    <t>New 138 kV switchyard, loop-in planned Kipper - Valencia 138 kV line</t>
  </si>
  <si>
    <t>Load Serving (mine customer)</t>
  </si>
  <si>
    <t>Kipper 138kV Substation</t>
  </si>
  <si>
    <t>Reliability/loop existing radial UNSE system</t>
  </si>
  <si>
    <t>Reliability/loop in existing UNSE radial system</t>
  </si>
  <si>
    <t>Aerospace Research Campus Transmission Project</t>
  </si>
  <si>
    <t>West Station - Hogback 115 kV Line</t>
  </si>
  <si>
    <t>Pueblo West Substation</t>
  </si>
  <si>
    <t>West Pueblo</t>
  </si>
  <si>
    <t>Skala - Cañon City 115 kV Rebuild</t>
  </si>
  <si>
    <t>Rebuild 115 kV line between Skala and Cañon City</t>
  </si>
  <si>
    <t>Increase Capacity</t>
  </si>
  <si>
    <t>Skala 115 kV</t>
  </si>
  <si>
    <t>Cañon City 115 kV</t>
  </si>
  <si>
    <t>Cañon City - Hogback 115 kV Rebuild</t>
  </si>
  <si>
    <t>Rebuild 115 kV line between Cañon City and Hogback</t>
  </si>
  <si>
    <t>Cañon City</t>
  </si>
  <si>
    <t>Hogback - Cañon West 115 kV Rebuild</t>
  </si>
  <si>
    <t>Rebuild 115 kV line between Hogback and Cañon West</t>
  </si>
  <si>
    <t>Increase capacity</t>
  </si>
  <si>
    <t>Cañon West</t>
  </si>
  <si>
    <t>Cañon West 230/115 kV Transformer Replacement</t>
  </si>
  <si>
    <t>Upgrade Cañon West 230/115 kV transformer</t>
  </si>
  <si>
    <t>West Station - Portland 115 kV Rebuild</t>
  </si>
  <si>
    <t>Rebuild 115 kV line between West Station and Portland</t>
  </si>
  <si>
    <t>Portland</t>
  </si>
  <si>
    <t>South Dakota</t>
  </si>
  <si>
    <t>West Hill - Stegall 230 kV</t>
  </si>
  <si>
    <t>230 kV Substation with 2x200 MVA 230/115 kV transformers</t>
  </si>
  <si>
    <t>Wallick 115 kV Substation</t>
  </si>
  <si>
    <t>New load serving substation in Cheyenne WY</t>
  </si>
  <si>
    <t xml:space="preserve">Sweetgrass - Bison 115 kV #3 &amp; #4 </t>
  </si>
  <si>
    <t>Double Circuit 115 kV line</t>
  </si>
  <si>
    <t>Cheyenne - Rawhide 230 kV line</t>
  </si>
  <si>
    <t>A new 230 kV line from Cheyenne WY to the Rawhide 230 kV Substation</t>
  </si>
  <si>
    <t>Rawhide 230 kV Substation</t>
  </si>
  <si>
    <t>To support load or generation growth in the Yuma area.</t>
  </si>
  <si>
    <t>Bagdad 230kV Transmission Line</t>
  </si>
  <si>
    <t>The MPP-Q01 substation will tap the Mead-Perkins 500kV line approximately 4 miles southeast of the intersection of US 93 and SR 97.  From MPP-Q01, a new 230kV line will head generally north for approximately 15 miles to the new TS31 substation.  At TS31, voltage will be stepped down to 69kV to serve a new high load customer.</t>
  </si>
  <si>
    <t>To provide electric energy to a new customer.</t>
  </si>
  <si>
    <t>Customer</t>
  </si>
  <si>
    <t>Mead Phoenix Project Q01 substation</t>
  </si>
  <si>
    <t>TS31 substation</t>
  </si>
  <si>
    <t>Serrano Solar and Storage Project Generation Tie Line</t>
  </si>
  <si>
    <t>The APS owned portion of the generation tie line from the Serrano Solar and Storage Project to Saguaro Substation.</t>
  </si>
  <si>
    <t xml:space="preserve">To connect the Serrano Solar and Storage Project substation to the Saguaro substation.  </t>
  </si>
  <si>
    <t>Serrano Solar and Storage Project Substation</t>
  </si>
  <si>
    <t>Saguaro Substation</t>
  </si>
  <si>
    <t>Rabbit Canyon 500kV Switchyard and Lines</t>
  </si>
  <si>
    <t xml:space="preserve">Lines will be extended from the Moenkopi-Cedar Mountain 500kV line to the new Rabbit Canyon 500kV switchyard located within Township 26N, Range 5E, Section 21 and north of the southern limit of the Moenkopi-Cedar Mountain 500kV right of way.  </t>
  </si>
  <si>
    <t>To interconnect multiple generation interconnection projects to the Moenkopi-Cedar Mountain 500kV line.</t>
  </si>
  <si>
    <t>N/a</t>
  </si>
  <si>
    <t>Moenkopi - Cedar Mountain 500kV Line</t>
  </si>
  <si>
    <t>Rabbit Canyon Switchyard</t>
  </si>
  <si>
    <t>Dromedary 230kV Switchyard and Lines</t>
  </si>
  <si>
    <t>Cut Dromedary switchyard into the existing Palm Valley - Tribly Wash 230kV line (future Palm Valley - Parkway 230kV line).</t>
  </si>
  <si>
    <t xml:space="preserve">To provide electric energy to a new high-load customer.  </t>
  </si>
  <si>
    <t>Palm Valley - Parkway 230kV line</t>
  </si>
  <si>
    <t>Dromedary switchyard</t>
  </si>
  <si>
    <t>Hashknife Energy Center Generation Tie Line Project</t>
  </si>
  <si>
    <t>The APS portion of the line connecting the Hashknife Energy Center to Cholla substation.</t>
  </si>
  <si>
    <t>To connect the Hashknife Energy Center Project to the Cholla substation.</t>
  </si>
  <si>
    <t>Hashknife Energy Center substation</t>
  </si>
  <si>
    <t>Cholla substation</t>
  </si>
  <si>
    <t>Proving Ground Solar and Storage 500kV Interconnection</t>
  </si>
  <si>
    <t>New 500kV line from the Proving Ground Solar and Storage step up substation to Hoodoo Wash switchyard.  A portion of the gen tie will be collocated with the Hassayampa - North Gila 500kV line.</t>
  </si>
  <si>
    <t>To connect the Proving Ground Solar and Battery Storage project to the Hoodoo Wash switchyard.</t>
  </si>
  <si>
    <t>Proving Ground Solar and Storage Project step-up substation</t>
  </si>
  <si>
    <t>Hoodoo Wash switchyard</t>
  </si>
  <si>
    <t>West Camp Wind Gen Tie Project</t>
  </si>
  <si>
    <t>Cut the West Camp Wind interconnection switchyard into the Cholla - Mazatzal 345kV line</t>
  </si>
  <si>
    <t>To connect the West Camp Wind Farm generation project to the Cholla-Mazatzal 345kV line.</t>
  </si>
  <si>
    <t>West Camp Wind collector substations</t>
  </si>
  <si>
    <t>Cholla - Mazatzal 345kV line</t>
  </si>
  <si>
    <t>Sun Valley to Outer Circle 230kV line</t>
  </si>
  <si>
    <t>The line would originate at the Sun Valley Substation and head north to the existing Sun Valley-Morgan 500kV alignment.  From there, the line will head generally north and east, utilizing the open circuit position on the existing Sun Valley-Morgan 500kV line structures.  The line will terminate at the Outer Circle substation, located on the southeast corner of the 235th Avenue alignment and Grand Avenue, northwest of the City of Surprise.</t>
  </si>
  <si>
    <t>To provide electric energy to growing load demands in the northwest Surprise and Wittmann areas, including proposed new logistics and industrial loads.  In addition, this new 230/69kV source substation will reduce loading constraints and provide greater reliability for the Wickenburg, Morristown, Wittmann and Surprise areas</t>
  </si>
  <si>
    <t>Sun Valley Substation</t>
  </si>
  <si>
    <t>Outer Circle Substation</t>
  </si>
  <si>
    <t>Bianco 230kV Lines</t>
  </si>
  <si>
    <t>Cut the Bianco substation in-and-out of the Santa Rosa - Desert Basin 230kV line</t>
  </si>
  <si>
    <t xml:space="preserve">To support continued load growth in Pinal County, especially new manufacturing and industrial customers in the Casa Grande area.  </t>
  </si>
  <si>
    <t>Santa Rosa - Desert Basin 230kV line</t>
  </si>
  <si>
    <t>Bianco substation</t>
  </si>
  <si>
    <t>Panda - Freedom 230kV Line Rebuild</t>
  </si>
  <si>
    <t>Rebuild the Panda - Freedom 230kV line in a new alignment</t>
  </si>
  <si>
    <t>To alleviate projected loading constraints on the existing Panda-Freedom line due to new high-load customers in Metro Phoenix and generation additions in the vicinity of the Gila River and Panda substations.  The rebuilt line will also support continued customer growth in the Buckeye area and increase access to diverse generation resources.</t>
  </si>
  <si>
    <t>Panda substation</t>
  </si>
  <si>
    <t>Freedom substation</t>
  </si>
  <si>
    <t>Pinnacle Peak to Ocotillo 230kV Line Rebuilds</t>
  </si>
  <si>
    <t xml:space="preserve">Rebuild the two sets of double circuit lines on existing structures between Pinnacle Peak and Ocotillo substations.  </t>
  </si>
  <si>
    <t xml:space="preserve">To replace the existing structures between Pinnacle Peak and Ocotillo.  This rebuild will replace aging towers to ensure continued reliability and safety and increase capacity in the Metro Phoenix load pocket.  </t>
  </si>
  <si>
    <t>Pinnacle Peak substation</t>
  </si>
  <si>
    <t>Ocotillo substation</t>
  </si>
  <si>
    <t>Runway - Stratus 230kV Cut-In to TS21</t>
  </si>
  <si>
    <t>Cut the Runway - Stratus 230kV line in and out of the TS21 substation.</t>
  </si>
  <si>
    <t>To support the growing demand from high-load data center customers in the West Valley by connecting the TS21 substation into the 230kV network.  The TS21 500/230kV substation and 230kV lines will relieve loading constraints on the Rudd substation and other 230kV lines in the West Valley.</t>
  </si>
  <si>
    <t>Runway - Stratus 230kV Line</t>
  </si>
  <si>
    <t>TS21 substation</t>
  </si>
  <si>
    <t>TS21 to Broadway 230kV Line</t>
  </si>
  <si>
    <t>Extend a new 230kV line generally east and north from TS21 substation to Broadway substation.</t>
  </si>
  <si>
    <t>Broadway substation</t>
  </si>
  <si>
    <t>Four Corners to Cholla to Pinnacle Peak 345kV Line Rebuilds</t>
  </si>
  <si>
    <t xml:space="preserve">Rebuild the two existing circuits between Four Corners substation and Pinnacle Peak substation.  For most of the route, lines will be rebuilt out of lead to avoid extended system outages.  </t>
  </si>
  <si>
    <t>To replace existing lattice towers along the entire route. This rebuild will replace aging towers to ensure continued reliability and safety, improve deliverability into the Metro Phoenix area, and increase import capability to the Metro Phoenix area from the Cholla substation and the Four Corners region.  The increase in capacity of the rebuilt lines will improve access to a diverse mix of resources from the Four Corners region and the southwest.  The lines will be constructed to accommodate potential conversion to 500kV operation in the future.</t>
  </si>
  <si>
    <t>Four Corners subsation</t>
  </si>
  <si>
    <t>Trilby Wash to Parkway 230kV circuit #2</t>
  </si>
  <si>
    <t>Add a second circuit to the existing poles on the Trilby Wash - Parkway 230kv line</t>
  </si>
  <si>
    <t>To increase load serving capability in Metro Phoenix.</t>
  </si>
  <si>
    <t>Trilby Wash substation</t>
  </si>
  <si>
    <t>Parkway substation</t>
  </si>
  <si>
    <t>El Sol - Contrail - TS34 - Sabre - Parkway 230kV Line Circuit #2</t>
  </si>
  <si>
    <t>Add a second circuit on the poles of the planned 230kV lines between El Sol and Parkway substations</t>
  </si>
  <si>
    <t>To support additional load growth in the Metro Phoenix area</t>
  </si>
  <si>
    <t>Delaney to Quartzsite 500kV and 230kV Lines</t>
  </si>
  <si>
    <t>Extend 500kV and 230kV lines west from Delaney to the Quartzite area.</t>
  </si>
  <si>
    <t>Support future large customer and generation projects and continued APS load growth in La Paz county</t>
  </si>
  <si>
    <t>Delaney substation</t>
  </si>
  <si>
    <t>Quartzsite</t>
  </si>
  <si>
    <t>Quartzsite to Colorado River 500kV Line</t>
  </si>
  <si>
    <t>Extend a new 500kV line from Quartzsite to the Colorado River substation.</t>
  </si>
  <si>
    <t>To support future loads and generation in La Paz County.</t>
  </si>
  <si>
    <t>Colorado River substation</t>
  </si>
  <si>
    <t>Milligan to Pinal Central 230kV Line</t>
  </si>
  <si>
    <t>Extend a line from Milligan to Pinal Central</t>
  </si>
  <si>
    <t>To provide a path from the Sundance generation plant to APS facilities in Pinal County and improve reliability of the APS transmission system in Pinal County</t>
  </si>
  <si>
    <t>Milligan substation</t>
  </si>
  <si>
    <t>TS27 Switchyard and Lines</t>
  </si>
  <si>
    <t>Cut the future TS27 switchyard into the Palm Valley - Trilby Wash (future Dromedary - Parkway) 230kV line.</t>
  </si>
  <si>
    <t>Serve a new large load customer</t>
  </si>
  <si>
    <t>Dromedary - Parkway 230kV line</t>
  </si>
  <si>
    <t>TS27 switchyard</t>
  </si>
  <si>
    <t>Morgan to Outer Circle 230kV line</t>
  </si>
  <si>
    <t>Add a 230kV line to the existing poles of the Sun Valley -  Morgan 500kV line from Outer Circle substation to Morgan substation.</t>
  </si>
  <si>
    <t>Provide a second source to the planned Outer Circle substation.</t>
  </si>
  <si>
    <t>Outer Circle substation</t>
  </si>
  <si>
    <t>To provide an alternative route for Sundance area generation to reach the Phoenix Metropolitan load pocket and to increase operational flexibility and support future growth in Pinal County.</t>
  </si>
  <si>
    <t>Palm Valley-Dromedary-TS27-Parkway 230kV Line Circuit #2</t>
  </si>
  <si>
    <t>Add a second circuit to existing poles between Palm Valley and Parkway substations</t>
  </si>
  <si>
    <t>Morgan - Outer Circle 230kV line</t>
  </si>
  <si>
    <t>Jojoba - Rudd 500kV line</t>
  </si>
  <si>
    <t>Parkway 230kV Lines</t>
  </si>
  <si>
    <t>The Parkway substation will be located adjacent to the Palm Valley-Trilby Wash 230kV line, north of Olive Avenue and between the Loop 303 and Cotton Lane.</t>
  </si>
  <si>
    <t xml:space="preserve">To provide a switchyard to connect the Contrail 230kV lines into the existing Palm Valley-Trilby Wash 230kV line. </t>
  </si>
  <si>
    <t>Parkway 230kV Substation</t>
  </si>
  <si>
    <t>A single circuit line will originate at the El Sol substation and will head generally west and connect into the Contrail substation, located on the southeast corner of Olive Avenue and Dysart Road.  From Contrail substation, the line will head north to Peoria Ave along the 127th Avenue alignment.  The future TS34 switchyard will connect into the line along this alignment.  The line will head west on Peoria Avenue to Litchfield Road and then generally south and west until it terminates at the future Parkway substation.  The future Sabre switchyard will tie into the line along Olive Avenue near the 147th Avenue alignment.  All structures are planned to be double circuit capable.</t>
  </si>
  <si>
    <t>To provide electric energy to new high load customers in the area. In-service date is predicated on ramp rate of customer load.</t>
  </si>
  <si>
    <t>The TS17 Substation will be located adjacent to the existing Ocotillo – Pinnacle Peak 230kV line generally between Bell Road and Thompson Peak Parkway.</t>
  </si>
  <si>
    <t xml:space="preserve">To provide electric energy in the northeastern portions of the Phoenix Metropolitan area. </t>
  </si>
  <si>
    <t>The Broadway substation will be cut into the Runway-Rudd 230kV line.  The substation is located on the north side of Broadway Road and adjacent to the Runway-Rudd 230kV line.</t>
  </si>
  <si>
    <t>To provide electric energy to a new high-load customer in the area. In-service date is predicated on ramp rate of customer load.</t>
  </si>
  <si>
    <t>Runway - Rudd 230kV Line</t>
  </si>
  <si>
    <t>Cut the West Phoenix - White Tanks 230kV line into Runway Substation</t>
  </si>
  <si>
    <t>To provide electric energy to new high-load customers.  The in-service date is predicated on the ramp rate of customer load.</t>
  </si>
  <si>
    <t>TS22 Project</t>
  </si>
  <si>
    <t>The TS22 substation is planned to be located generally northwest of the intersection of 51st Avenue and Dove Valley Road and will be adjacent to the double circuit transmission poles carrying the Raceway-Avery 230kV line and the Morgan-Pinnacle Peak 500kV line.  The project will cut the new substation in and out of the existing 230kV and 500kV lines.</t>
  </si>
  <si>
    <t>To provide electric energy to new high load customers in the area</t>
  </si>
  <si>
    <t>Raceway-Avery 230kV line and Morgan-Pinnacle Peak 500kV line</t>
  </si>
  <si>
    <t>Jojoba to Rudd 500kV line</t>
  </si>
  <si>
    <t>The line will head north from Jojoba - generally paralleling the Panda - Freedom 230kV line.  North of the Gila River, the line will head generally northeast to the future TS21 substation.  From TS21, the line will head east to Rudd substation.</t>
  </si>
  <si>
    <t>To provide an additional EHV source to the Phoenix Metropolitan area, which is experiencing rapid economic development.  This line helps maintain compliance with NERC Reliability Standards and support load growth.  In addition, this new source will provide customers greater access to a diverse mix of resources from around the region.</t>
  </si>
  <si>
    <t>Rudd Substation</t>
  </si>
  <si>
    <t>In-service</t>
  </si>
  <si>
    <t>in-service</t>
  </si>
  <si>
    <t>Sundance - TS33 - Milligan 230kV Line</t>
  </si>
  <si>
    <t>A new 230kV transmission line from the Sundance Generating Facility to TS33 substation and then the Milligan substation. This line would be built double circuit 230kV capable, but initially operated as a single circuit.</t>
  </si>
  <si>
    <t>Withdrawn</t>
  </si>
  <si>
    <t>New substation, served from new 138 kV line from planned Owl Head Ranch Switchyard</t>
  </si>
  <si>
    <t>Owl Head Ranch 138 kV Switchyard</t>
  </si>
  <si>
    <t>Grier 138 kV Substation</t>
  </si>
  <si>
    <t>New substation supplied by new 138 kV line from Rancho Vistoso</t>
  </si>
  <si>
    <t>New 138/13.8 kV Substation, loop-in of Irvington - Sonoran 138 kV circuit #3.</t>
  </si>
  <si>
    <t>Irvington 138 kV Substation</t>
  </si>
  <si>
    <t>Sonoran 138 kV Substation</t>
  </si>
  <si>
    <t>NorthEast Loop 138 kV Substation</t>
  </si>
  <si>
    <t>Snyder 138 kV Substation</t>
  </si>
  <si>
    <t>Santa Rita (formerly Hartt) 138/13.8 kV Substation</t>
  </si>
  <si>
    <t>South 138 kV Substation</t>
  </si>
  <si>
    <t>Green Valley 138 kV Substation</t>
  </si>
  <si>
    <t>Vail 345/138 kV Transformer T4</t>
  </si>
  <si>
    <t>New 345/138 kV Transformer Addition</t>
  </si>
  <si>
    <t>Vail 345 kV Bus</t>
  </si>
  <si>
    <t>Vail 138 kV Bus</t>
  </si>
  <si>
    <t>Santa Rita - Copper World 138 kV Line</t>
  </si>
  <si>
    <t>New 138 kV line from planned Santa Rita substation to Copper World</t>
  </si>
  <si>
    <t>Serve proposed industrial load at new Copper World Switchyard</t>
  </si>
  <si>
    <t>Santa Rita 138 kV Substation</t>
  </si>
  <si>
    <t>New Copper World 138 kV Substation</t>
  </si>
  <si>
    <t>Copper World (formerly Rosemont) 138 kV Switchyard</t>
  </si>
  <si>
    <t>New 138 kV Switchyard</t>
  </si>
  <si>
    <t>Serve Copper World Customer Load</t>
  </si>
  <si>
    <t>Santa Rita (formerly Hartt) 138 kV Bus</t>
  </si>
  <si>
    <t>Copper World 138 kV Bus</t>
  </si>
  <si>
    <t>Vine 138/13.8 kV Substation</t>
  </si>
  <si>
    <t>New 138/13.8 kV Substation, loop-in of future Kino - DMP 138 kV line.</t>
  </si>
  <si>
    <t>New 138 kV line North Loop to Naranja to La Canada</t>
  </si>
  <si>
    <t>New 138 kV line from North Loop to La Canada with the new Naranja substation</t>
  </si>
  <si>
    <t>North Loop 138 kV Bus</t>
  </si>
  <si>
    <t>La Canada 138 kV Bus</t>
  </si>
  <si>
    <t>Gateway 138 kV Transmission Line</t>
  </si>
  <si>
    <t>Future Rio Rico 138 kV Switchyard (2027)</t>
  </si>
  <si>
    <t>Valencia 138 kV Substation</t>
  </si>
  <si>
    <t>Re-Conductor Vail to Kantor 138 kV Transmission Line, south of Nogales Tap</t>
  </si>
  <si>
    <t>Rebuild WAPA Nogales Tap to Kantor portion of existing 138 kV Vail to Kantor transmission line</t>
  </si>
  <si>
    <t>Improve reliability and increase the capacity of the 138 kV line.</t>
  </si>
  <si>
    <t>Vail 138 kV Substation</t>
  </si>
  <si>
    <t>Irvington to Drexel to Midvale to South 138 kV Line Re-conductor</t>
  </si>
  <si>
    <t>Reconductor the existing Irvington-Drexel-Midvale-South 138 kV Line in order to meet system loads</t>
  </si>
  <si>
    <t>Saguaro to Winchester 500 kV Line</t>
  </si>
  <si>
    <t>New 500 kV Transmission line from Saguaro substation to Winchester substation</t>
  </si>
  <si>
    <t>Saguaro 500 kV Substation</t>
  </si>
  <si>
    <t>Winchester 500 kV Substation</t>
  </si>
  <si>
    <t>Vail to South 345 kV Line - Second Circuit</t>
  </si>
  <si>
    <t>Vail 345 kV Substation</t>
  </si>
  <si>
    <t>South 345 kV Substation</t>
  </si>
  <si>
    <t>Springervile to Vail 345 kV Line - Second Circuit</t>
  </si>
  <si>
    <t>Construct a second 345 kV circuit from Springerville substation to Vail substation</t>
  </si>
  <si>
    <t>Tortolita to South 345 kV Transmission Line</t>
  </si>
  <si>
    <t>Construct new 345 kV transmission line from Tortolita substation to South substation</t>
  </si>
  <si>
    <t>Westwing to South 345 kV Transmission Line - Second Circuit</t>
  </si>
  <si>
    <t>Construct parallel and adjacent 345 kV or 500 kV transmission line from Westwing substation to South substation</t>
  </si>
  <si>
    <t>Loop-in Springerville-Vail 345 kV Line into Greenlee 345 kV</t>
  </si>
  <si>
    <t xml:space="preserve">Loop-in existing Springerville-Vail 345 kV line into existing Greenlee 345 kV substation </t>
  </si>
  <si>
    <t>Loop-in Springerville-Greenlee 345 kV line into Catron 345 kV</t>
  </si>
  <si>
    <t xml:space="preserve">Loop-in existing Springerville-Greenlee 345 kV line into future Catron substation </t>
  </si>
  <si>
    <t>Springerville-Catron 345 kV Circuit 2 Uprate</t>
  </si>
  <si>
    <t>Uprate the existing Springerville-Catron 345 kV Circuit #2 by replacing station equipment at Springerville</t>
  </si>
  <si>
    <t>Increase rating of line between Springerville and Catron to support the Loop-in of Catron Substation into Springerville-Greenlee 345 kV line</t>
  </si>
  <si>
    <t>Catron 345 kV Switchyard</t>
  </si>
  <si>
    <t>Winchester to Vail 345 kV line uprate</t>
  </si>
  <si>
    <t>DeMoss Petrie (DMP) 138 kV, Conversion to breaker-and-a-half substation</t>
  </si>
  <si>
    <t>Wilmot Park (formerly Sears Wilmot) 138/13.8 kV Substation</t>
  </si>
  <si>
    <t>22nd Street 138 kV Substation</t>
  </si>
  <si>
    <t>East Loop 138 kV Substation</t>
  </si>
  <si>
    <t>Rio Rico 138 kV Switchyard</t>
  </si>
  <si>
    <t>Kipper 138 kV Substation</t>
  </si>
  <si>
    <t>Gateway 138 kV Substation</t>
  </si>
  <si>
    <t>Two 50MVAR Capacitor banks added at Greenlee Substation</t>
  </si>
  <si>
    <t>Greenlee 345 kV Substation (tentative)</t>
  </si>
  <si>
    <t>Re-Conductor Kantor to Canez 138 kV Transmission Line</t>
  </si>
  <si>
    <t>Improve reliability and increase the capacity of the 138 kV line that will support the Mexico AC/DC/AC interconnection</t>
  </si>
  <si>
    <t>Re-Conductor Canez to Sonoita 138 kV Transmission Line</t>
  </si>
  <si>
    <t>Re-conductor to Canez to Sonoita 138 kV Transmission line</t>
  </si>
  <si>
    <t>Rillito 138 kV Conversion to breaker-and-a-half substation</t>
  </si>
  <si>
    <t>Convert existing Rillito 138 kV substation into a breaker-and-a-half substation</t>
  </si>
  <si>
    <t>Rillito 138 kV Substation</t>
  </si>
  <si>
    <t>East Loop 138 kV Conversion to breaker-and-a-half substation</t>
  </si>
  <si>
    <t>East Loop 138 kV substation</t>
  </si>
  <si>
    <t>New 230 kV Yard at Tortolita Substation</t>
  </si>
  <si>
    <t>Tortolita 230 kV Substation</t>
  </si>
  <si>
    <t>New 230 kV Yard at DMP Substation</t>
  </si>
  <si>
    <t>DMP 230 kV Substation</t>
  </si>
  <si>
    <t>New 230 kV Yard at Vail Substation</t>
  </si>
  <si>
    <t>Vail 230 kV Substation</t>
  </si>
  <si>
    <t>Tortolita to DMP 230 kV line</t>
  </si>
  <si>
    <t>DeMoss Petrie 230 kV Substation</t>
  </si>
  <si>
    <t>DMP to Vail 230 kV line</t>
  </si>
  <si>
    <t>Tortolita 500/230 kV Transformers</t>
  </si>
  <si>
    <t>Two 500/230 kV transformers at Tortolita Substation</t>
  </si>
  <si>
    <t>Tortolita 500 kV Substation</t>
  </si>
  <si>
    <t>DMP 230/138 kV Transformers</t>
  </si>
  <si>
    <t>Two 230/138 kV Transformers at DMP Substation</t>
  </si>
  <si>
    <t>DeMoss Petrie 138 kV Substation</t>
  </si>
  <si>
    <t>Vail 345/230 kV Transformers</t>
  </si>
  <si>
    <t>Two 345/230 kV Transformers at Vail Substation</t>
  </si>
  <si>
    <t>Tucson Estates (formerly Bopp-Donald) 138/13.8 kV Substation</t>
  </si>
  <si>
    <t>New Substation served by 138 kV line from Midvale</t>
  </si>
  <si>
    <t>Tucson Estates 138 kV Substation</t>
  </si>
  <si>
    <t>Midvale to Tucson Estates 138 kV line</t>
  </si>
  <si>
    <t>New 138 kV line</t>
  </si>
  <si>
    <t>Midvale 138 kV Substation</t>
  </si>
  <si>
    <t>Tucson Estates to South 138 kV line</t>
  </si>
  <si>
    <t>New 138 kV line connecting planned Tucson Estates substation to South substation utilizing approx. 12 miles of existing infrastructure and 6 miles of new construction</t>
  </si>
  <si>
    <t>TEPTDA 138 kV Substation</t>
  </si>
  <si>
    <t>New 138kV Substation, Loop-in of Drexel to Midvale 138kV line</t>
  </si>
  <si>
    <t>Drexel and Midvale 138 kV Substations</t>
  </si>
  <si>
    <t>500/345 kV Transformer addition at Pinal West</t>
  </si>
  <si>
    <t>Second 500/345 kV transformer added at Pinal West Substation</t>
  </si>
  <si>
    <t>Pinal West 500/345 kV Substation</t>
  </si>
  <si>
    <t>Whetstone 138 kV Substation</t>
  </si>
  <si>
    <t>New Substation looped into the Vail to Ft. Huachuca 138 kV line</t>
  </si>
  <si>
    <t>Connects Babacomari PV facility to TEP 138 kV system</t>
  </si>
  <si>
    <t>Ft. Huachuca 138 kV Substation</t>
  </si>
  <si>
    <t>Harshaw 138 kV Substation</t>
  </si>
  <si>
    <t>New substation fed from planned Rio Rico 138 kV substation</t>
  </si>
  <si>
    <t>Rio Rico 138 kV Substation</t>
  </si>
  <si>
    <t>Rio Rico - Harshaw 138 kV Transmission Line</t>
  </si>
  <si>
    <t>New 138 kV Line</t>
  </si>
  <si>
    <t>New 138 kV Kipper Substation; loop-in of existing Sonoita - Valencia 138 kV Line</t>
  </si>
  <si>
    <t>Canoa Ranch to Kantor 138 kV Transmission Line</t>
  </si>
  <si>
    <t>New line connecting UNSE's Kantor 138 kV substation to TEP's Canoa Ranch 138 kV substation</t>
  </si>
  <si>
    <t>Canoa Ranch 138 kV Substation</t>
  </si>
  <si>
    <t>UNSTDB 138 kV Substation</t>
  </si>
  <si>
    <t>New UNSTDB 138 kV Substation looping-in the Rio Rico to Valencia 138 kV line</t>
  </si>
  <si>
    <t>Kantor to UNSTDB 138 kV Line</t>
  </si>
  <si>
    <t>New transmission line connecting existing Kantor 138 kV substation to planned UNSTDB 138 kV substation</t>
  </si>
  <si>
    <t>Kantor 138 kV Bus</t>
  </si>
  <si>
    <t>UNSTDB 138 kV Bus</t>
  </si>
  <si>
    <t xml:space="preserve">Irvington to Sonoran 138 kV circuits 1, 2, &amp; 3 reconductor </t>
  </si>
  <si>
    <t>Reconductor all 3 of Irvington to Sononran circuits</t>
  </si>
  <si>
    <t>Port 138 kV Substation</t>
  </si>
  <si>
    <t>Loop in of Irvington - Patriot 138 kV transmission line into new Port 138 kV Substation. Will replace mobile transformer placed in-service in 2025.</t>
  </si>
  <si>
    <t>Patriot 138 kV Substation</t>
  </si>
  <si>
    <t>Port 138 kV substation</t>
  </si>
  <si>
    <t>Loop-in the existing Sonoran – South 138 kV circuit and construct a double circuit 138 kV line to connect to planned Franco Wash 138 kV switchyard.</t>
  </si>
  <si>
    <t>Economic/Load Serving (customer-driven)</t>
  </si>
  <si>
    <t>Golden Valley 230 kV Transmission Line</t>
  </si>
  <si>
    <t>Harris Substation 230 kV Substation</t>
  </si>
  <si>
    <t>Mineral Park Substation 230 kV Substation</t>
  </si>
  <si>
    <t>Griffith - N. Havasu 69/230 kV Transmission Line</t>
  </si>
  <si>
    <t>230 kV Transmission Line</t>
  </si>
  <si>
    <t>Winchester - Vail Double Circuit 345 kV Line</t>
  </si>
  <si>
    <t>New double circuit 345 kV line and terminals</t>
  </si>
  <si>
    <t>Winchester 345 kV Substation</t>
  </si>
  <si>
    <t>Rancho Vistoso - Lago Del Oro 138 kV Line</t>
  </si>
  <si>
    <t>Rancho Vistoso 138 kV Bus</t>
  </si>
  <si>
    <t>Lago Del Oro 138 kV Bus</t>
  </si>
  <si>
    <t>Nyberg – La Junta 115 kV line (Boone Bypass)</t>
  </si>
  <si>
    <t>115 kV line now goes from Nyberg - La Junta without connecting to Boone</t>
  </si>
  <si>
    <t>Improve reliability of area</t>
  </si>
  <si>
    <t>Nyberg</t>
  </si>
  <si>
    <t>La Junta</t>
  </si>
  <si>
    <t>La Junta 115/69 kV Transformer Replacement (50 MVA)</t>
  </si>
  <si>
    <t>Replace the 115/69 kV transformer at the La Junta substation</t>
  </si>
  <si>
    <t>Reliabilty</t>
  </si>
  <si>
    <t>Pueblo Plant 115 kV Substation Rebuild</t>
  </si>
  <si>
    <t>Rebuilding of the Pueblo Plant Substation</t>
  </si>
  <si>
    <t>Pueblo Plant</t>
  </si>
  <si>
    <t>BHBE G25 115 MW RICE</t>
  </si>
  <si>
    <t>BHBE G25 115 MW RICE Hall</t>
  </si>
  <si>
    <t>LGI</t>
  </si>
  <si>
    <t>Lange</t>
  </si>
  <si>
    <t>CLPT G20 365 MW Solar/BESS</t>
  </si>
  <si>
    <t>CLPT G20 Subsation</t>
  </si>
  <si>
    <t>Sweetgrass – Bluffs 230 kV Line</t>
  </si>
  <si>
    <t>CLPT G16 300 MW Solar/Wind/BESS</t>
  </si>
  <si>
    <t>CLPT G16 Substation</t>
  </si>
  <si>
    <t>West Cheyenne – Windstar 230 kV Line</t>
  </si>
  <si>
    <t>CLPT G18 255 MW Solar/BESS</t>
  </si>
  <si>
    <t>CLPT G18 Substation</t>
  </si>
  <si>
    <t>CLPT G11 150 MW Wind</t>
  </si>
  <si>
    <t>CLPT G11 Wind Generation</t>
  </si>
  <si>
    <t>West Cheyenne 115 kV</t>
  </si>
  <si>
    <t>CLPT G17 300 MW Solar/Wind/Bess</t>
  </si>
  <si>
    <t>CLPT G17 Generation</t>
  </si>
  <si>
    <t>East Business Park</t>
  </si>
  <si>
    <t>CLPT G21 400 MW Solar/BESS</t>
  </si>
  <si>
    <t>CLPT G21 Generation</t>
  </si>
  <si>
    <t>Sweetgrass 230 kV</t>
  </si>
  <si>
    <t>Sweetgrass – CPGS 230 kV Voltage Conversion</t>
  </si>
  <si>
    <t>Convert Sweetgrass - CPGS Line #1 from 115kV to 230 kV</t>
  </si>
  <si>
    <t>Sweetgrass 230kv</t>
  </si>
  <si>
    <t>GPGS</t>
  </si>
  <si>
    <t>McCloud East Substation &amp; Related 115 kV Line Reconfigurations</t>
  </si>
  <si>
    <t>McCloud East</t>
  </si>
  <si>
    <t>Eastlake Substation 115 kV 2x15.9 MVAR Capacitor Bank (New)</t>
  </si>
  <si>
    <t>Voltage &amp; reactive support, reliability</t>
  </si>
  <si>
    <t>Eastwind 115 Substation (New) &amp; Related 115 kV Line Reconfiguration</t>
  </si>
  <si>
    <t>Load serving, reliability</t>
  </si>
  <si>
    <t>Eastwind</t>
  </si>
  <si>
    <t>Bovee Substation 115 kV 2x15.9 MVAR Capacitor Bank (New)</t>
  </si>
  <si>
    <t>Bovee</t>
  </si>
  <si>
    <t>Eastwind Substation 115 kV 2x15.9 MVAR Capacitor Bank (New)</t>
  </si>
  <si>
    <t>Chaparral-Escondido 115 kV Line (Reconductor)</t>
  </si>
  <si>
    <t>This project has been identified as part of a facilities upgrade required to address and mitigate contingency overloads.</t>
  </si>
  <si>
    <t>Escondido</t>
  </si>
  <si>
    <t>Marvin-Seabeck 115 kV Line (New)</t>
  </si>
  <si>
    <t>This project is needed to address expected load growthand will allow EPE to mitigate contingency overloads.</t>
  </si>
  <si>
    <t>Reliability, Load Growth</t>
  </si>
  <si>
    <t>Thorn-Ripley 115 kV Line (Reconductor)</t>
  </si>
  <si>
    <t>Thorn</t>
  </si>
  <si>
    <t>Ripley</t>
  </si>
  <si>
    <t>Americas-Bovee 69 kV Line (Reconductor)</t>
  </si>
  <si>
    <t>EA-1 Substation 115 kV 2x15.9 MVAR Capacitor Bank (New)</t>
  </si>
  <si>
    <t>EA-1</t>
  </si>
  <si>
    <t>EA-2 Substation 115 kV 2x15.9 MVAR Capacitor Bank (New)</t>
  </si>
  <si>
    <t>EA-2</t>
  </si>
  <si>
    <t>FE-7 Substation 115 kV Capacitor Bank Addition (New)</t>
  </si>
  <si>
    <t>FE-7</t>
  </si>
  <si>
    <t>Rio Bosque 69 kV 1x15.9 MVAR Capacitor Bank (New)</t>
  </si>
  <si>
    <t>WS-3 Substation 115 kV 2x15.9 MVAR Capacitor Bank (New)</t>
  </si>
  <si>
    <t>WS-3</t>
  </si>
  <si>
    <t>Dyer Substation (Voltage Conversion) 69 kV to 115 kV</t>
  </si>
  <si>
    <t>The conversion from 69 kV to 115 kV results in increased reliability by addressing and mitigating existing contingency overloads.</t>
  </si>
  <si>
    <t>Afton North-Vado 345 kV Line (New, New Line)</t>
  </si>
  <si>
    <t>This 345 kV Circuit is part of a 345 kV Path that will increase the reliability and strength of EPE’s Transmission System.</t>
  </si>
  <si>
    <t>Eastwind-Seabeck 115 kV Line (New)</t>
  </si>
  <si>
    <t>Load growth. Additionally, the project will allow EPE to mitigate contingency overloads.</t>
  </si>
  <si>
    <t>Load growth, relaibility.</t>
  </si>
  <si>
    <t>Leasburg Substation 115 kV 2x15.9 MVAR Capacitor Bank (New)</t>
  </si>
  <si>
    <t>Marvin Substation 115 kV 2x15.9 MVAR Capacitor Bank (New)</t>
  </si>
  <si>
    <t>WS-4 Substation 115 kV 2x15.9 MVAR Capacitor Bank (New)</t>
  </si>
  <si>
    <t>WS-4</t>
  </si>
  <si>
    <t>Bovee-Eastlake 115 kV Line (New)</t>
  </si>
  <si>
    <t>Load growth, reliability</t>
  </si>
  <si>
    <t>Bovee-Northloop 115 kV Line (Reconductor)</t>
  </si>
  <si>
    <t>Northloop</t>
  </si>
  <si>
    <t>Eastlake-Sparks 115 kV Line (Reconductor)</t>
  </si>
  <si>
    <t>Thorn Substation 115 kV 2x15.9 MVAR Capacitor Bank (New)</t>
  </si>
  <si>
    <t>Alamo 345/115/69 kV Switching Station (New)</t>
  </si>
  <si>
    <t>Alamo</t>
  </si>
  <si>
    <t>T_W1 345/115 kV Switching Station (New) &amp; Related 345 kV Line Reconfiguration</t>
  </si>
  <si>
    <t>T_W1</t>
  </si>
  <si>
    <t>Luna-Diablo 345 kV Line Reconfiguration (In-and-Out at Afton 345 kV Substation)</t>
  </si>
  <si>
    <t>Luna</t>
  </si>
  <si>
    <t>Diablo</t>
  </si>
  <si>
    <t>Alamo-Bovee 115 kV Line (New)</t>
  </si>
  <si>
    <t>Alamo-Wicked 115 kV Line (New)</t>
  </si>
  <si>
    <t>Wicked</t>
  </si>
  <si>
    <t>Alamo-San Felipe (Voltage Conversion, Rebuild, Reconductor) 69 kV to 115 kV</t>
  </si>
  <si>
    <t>T_W1-WS-3 115 kV Line (New)</t>
  </si>
  <si>
    <t>Alamo 115/69 kV Autotransformer (New)</t>
  </si>
  <si>
    <t>Load growth, reliabilty</t>
  </si>
  <si>
    <t>T_W1 345/115 kV Autotransformer (New)</t>
  </si>
  <si>
    <t>T-W1</t>
  </si>
  <si>
    <t>McCombs Substation 115 kV 2x15.9 MVAR Capacitor Bank (New)</t>
  </si>
  <si>
    <t>WS-1 Substation 115 kV 2x15.9 MVAR Capacitor Bank (New)</t>
  </si>
  <si>
    <t>WS-1</t>
  </si>
  <si>
    <t>Americas Substation (Voltage Conversion) 69 kV to 115 kV</t>
  </si>
  <si>
    <t>Caliente-Pine 345 kV Line (New)</t>
  </si>
  <si>
    <t>This transmission line in conjunction with the substation will provide supported reliability, system flexibility, and will reduce potential contingency overloads.</t>
  </si>
  <si>
    <t>Americas-Lane (Voltage Conversion, Rebuild, Reconductor) 69 kV to 115 kV</t>
  </si>
  <si>
    <t>Airport-Arroyo 115 kV Line (New)</t>
  </si>
  <si>
    <t>Apollo-Moongate 115 kV Line (Reconfiguration, Reconductor)</t>
  </si>
  <si>
    <t>Escondido-Oro Grande 115 kV Line (Reconductor)</t>
  </si>
  <si>
    <t>Oro Grande</t>
  </si>
  <si>
    <t>Oro Grande-Amrad 115 kV Line (Reconductor)</t>
  </si>
  <si>
    <t>Amrad 345/115 kV Autotransformer (New, Additional)</t>
  </si>
  <si>
    <t>Pine 345/115 kV Autotransformer (New)</t>
  </si>
  <si>
    <t>WS-2 Substation 115 kV 2x15.9 MVAR Capacitor Bank (New)</t>
  </si>
  <si>
    <t>WS-2</t>
  </si>
  <si>
    <t>Alamo – Pine 345 kV Line (New)</t>
  </si>
  <si>
    <t>Alamo 345/115 kV Autotransformer (New)</t>
  </si>
  <si>
    <t>New 115 kV Switching Station (Albuquerque)</t>
  </si>
  <si>
    <t>New 115 kV station in Albuquerque for generation interconnection</t>
  </si>
  <si>
    <t>Switching Station to Add Resource</t>
  </si>
  <si>
    <t>Person</t>
  </si>
  <si>
    <t>Pajarito 345 kV Station Expansion</t>
  </si>
  <si>
    <t>Expansion of existing Pajarito 345 kV station to interconnect generation.</t>
  </si>
  <si>
    <t>Station expansion to add resource</t>
  </si>
  <si>
    <t>Sun Ranch 115 kV Station Expansion</t>
  </si>
  <si>
    <t>Expansion of existing Sun Ranch 115 kV station to interconnect generation.</t>
  </si>
  <si>
    <t>Sun Ranch</t>
  </si>
  <si>
    <t>Reliability and Load Serving</t>
  </si>
  <si>
    <t>Hidden Mountain 345 kV Expansion</t>
  </si>
  <si>
    <t>Install two 345/115 kV transformers and construct a third Hidden Mountain-Rattlesnake 115 kV Line</t>
  </si>
  <si>
    <t>Increase load serving capability</t>
  </si>
  <si>
    <t>Hidden Mountain</t>
  </si>
  <si>
    <t>Rattlesnake</t>
  </si>
  <si>
    <t>Approximately 2 miles</t>
  </si>
  <si>
    <t>Rio Puerco-Pajarito-Prosperity 345 kV Line</t>
  </si>
  <si>
    <t xml:space="preserve">New 345 kV line between existing Rio Puerco and Pajarito 345 kV stations. New Prosperity 345 kV station, line to Pajarito 345 kV station, 345/115 kV transformer, and connect existing Pajarito-Sandia 345 kV line. </t>
  </si>
  <si>
    <t>Increase reliability and load serving.</t>
  </si>
  <si>
    <t>Prosperity</t>
  </si>
  <si>
    <t>34.5 miles of new transmission lines</t>
  </si>
  <si>
    <t>Colorado’s Power Pathway – Segment 1</t>
  </si>
  <si>
    <t>Construct new double circuit 345 kV transmission expansion in eastern Colorado. Project will include expansion at existing substations and new substations.</t>
  </si>
  <si>
    <t>Ft. St. Vrain</t>
  </si>
  <si>
    <t>Canal Crossing</t>
  </si>
  <si>
    <t>CPP Total is 550 mi</t>
  </si>
  <si>
    <t>Colorado’s Power Pathway – Segments 2 and 3</t>
  </si>
  <si>
    <t>May Valley</t>
  </si>
  <si>
    <t>Colorado’s Power Pathway – Segments 4 and 5</t>
  </si>
  <si>
    <t>Colorado’s Power Pathway - Voltage Control / Reactive Support</t>
  </si>
  <si>
    <t>Install one Static Synchronous Compensator (“STATCOM”) at Goose Creek</t>
  </si>
  <si>
    <t>To increase reliability and resource accommodation.</t>
  </si>
  <si>
    <t>Goose Creek</t>
  </si>
  <si>
    <t>Colorado’s Power Pathway - Voltage Control / Reactive Support </t>
  </si>
  <si>
    <t xml:space="preserve">Install one Synchronous Condenser (“SynCond”) at May Valley </t>
  </si>
  <si>
    <t>Barker Distribution Substation</t>
  </si>
  <si>
    <t>Construct a new distribution substation that would tap PSCo's Lacombe 230kV substation</t>
  </si>
  <si>
    <t>Increase reliability and load serving capability to the Dever load center</t>
  </si>
  <si>
    <t>Lacombe</t>
  </si>
  <si>
    <t>Barker</t>
  </si>
  <si>
    <t>Circuit 5707 &amp; 5111: Daniels Park - Prairie - Greenwood Uprate </t>
  </si>
  <si>
    <t>Reconductor existing 230kV circuits</t>
  </si>
  <si>
    <t>To increase reliability, and resource accommodation</t>
  </si>
  <si>
    <t>Daniels Park</t>
  </si>
  <si>
    <t>Greenwood</t>
  </si>
  <si>
    <t>Circuit 5283: Leetsdale – Elati 230 kV Underground Transmission Line Upgrade</t>
  </si>
  <si>
    <t>Upgrade the existing 230kV circuit.</t>
  </si>
  <si>
    <t>Leetsdale</t>
  </si>
  <si>
    <t>Elati</t>
  </si>
  <si>
    <t>Arapahoe Substation Upgrades (230/115kV Transformer)</t>
  </si>
  <si>
    <t>Uprate existing 115kV bus tie and add new 230/115kV transformer</t>
  </si>
  <si>
    <t>Arapahoe</t>
  </si>
  <si>
    <t>Greenwood Substation Upgrades</t>
  </si>
  <si>
    <t>Uprate existing 230kV bus tie</t>
  </si>
  <si>
    <t>Circuits 9055, 9558, and 9464: Cherokee - Federal Heights - Semper – Broomfield Uprate</t>
  </si>
  <si>
    <t>Rebuild the existing 115kV circuits</t>
  </si>
  <si>
    <t>Broomfield</t>
  </si>
  <si>
    <t>Daniels Park Substation Upgrades (345/230kV Transformer)</t>
  </si>
  <si>
    <t xml:space="preserve">Add fourth 345/230 kV transformer </t>
  </si>
  <si>
    <t>Smoky Hill Substation (345/230kV Transformer)</t>
  </si>
  <si>
    <t>Add a third 345/230 kV transformer</t>
  </si>
  <si>
    <t>Smoky Hill</t>
  </si>
  <si>
    <t>Circuit 9955: Leetsdale to Harrison 115 kV Uprate </t>
  </si>
  <si>
    <t>Rebuild the existing 115kV circuit</t>
  </si>
  <si>
    <t>Harrison</t>
  </si>
  <si>
    <t>Circuit 5709: Greenwood – Arapahoe 230kV Uprate</t>
  </si>
  <si>
    <t>Rebuild the existing 230kV circuit</t>
  </si>
  <si>
    <t>PI-2024-06 Generation Interconnection Substation</t>
  </si>
  <si>
    <t>Construct new 345 kV switching station for new generation interconnection.</t>
  </si>
  <si>
    <t>Generation interconnection</t>
  </si>
  <si>
    <t>Circuit 9335: Arapahoe – South Tap – Bancroft Uprate</t>
  </si>
  <si>
    <t>Bancroft</t>
  </si>
  <si>
    <t>Circuit 5107: Daniels Park – Santa Fe Uprate</t>
  </si>
  <si>
    <t>Santa Fe</t>
  </si>
  <si>
    <t>Circuit 5717: Greenwood – Monaco Series Reactor </t>
  </si>
  <si>
    <t>Add a series reactor on the existing circuit at the Greenwood Substation</t>
  </si>
  <si>
    <t>Monaco</t>
  </si>
  <si>
    <t>Circuit 9332: Arapahoe - Air Liquide Tap - South - Gray Street Uprate </t>
  </si>
  <si>
    <t>Rebuild existing 115kV circuit</t>
  </si>
  <si>
    <t>Gray Street</t>
  </si>
  <si>
    <t>New Substation A </t>
  </si>
  <si>
    <t>Construct a new 115 kV switching station tying Circuit 9542, 9546, and 9549</t>
  </si>
  <si>
    <t>Substation A</t>
  </si>
  <si>
    <t>Circuit 9542: Cherokee - New Substation A</t>
  </si>
  <si>
    <t>Rebuild existing 115kV circuit from in-and-out at New Substation A to Cherokee</t>
  </si>
  <si>
    <t>Circuit 9546: Cherokee -Mapleton - New Substation A Uprate</t>
  </si>
  <si>
    <t>Circuit 9549: Cherokee - Conoco - New Substation A Uprate</t>
  </si>
  <si>
    <t>Rebuild existing 115kV circuit from in-and-out at New Substation A to Conoco</t>
  </si>
  <si>
    <t>New 115 kV Transmission Line: Cherokee - New Substation A</t>
  </si>
  <si>
    <t>Construct a new 115 kV transmission line between Cherokee and New Substation A</t>
  </si>
  <si>
    <t>Circuits 5167 and 5285: Smoky Hill - Buckley - Tollgate - Jewell  –  Leetsdale Uprate </t>
  </si>
  <si>
    <t>South Substation Upgrade (230/115kV Transformer)</t>
  </si>
  <si>
    <t>Expand the existing substation to add new 230kV Yard with a 230/115 kV transformer. Tap existing Circuit 5623: Arapahoe - Dakota</t>
  </si>
  <si>
    <t>Dakota</t>
  </si>
  <si>
    <t>Circuit 5625: Denver Terminal – Elati Uprate</t>
  </si>
  <si>
    <t>Denver Terminal</t>
  </si>
  <si>
    <t>Circuit 6584: Mitchell Creek – Ute (Rifle)</t>
  </si>
  <si>
    <t>Rebuild existing 69kV circuit</t>
  </si>
  <si>
    <t>Asset Renewal, Reliability</t>
  </si>
  <si>
    <t>Mitchell Creek</t>
  </si>
  <si>
    <t>Ute (Rifle)</t>
  </si>
  <si>
    <t>Circuit 6671: Vineland – Ute Grand Junction</t>
  </si>
  <si>
    <t>Vineland</t>
  </si>
  <si>
    <t>Ute Grand Junction</t>
  </si>
  <si>
    <t>Climax – Robinson Rack – Gilman 115 kV</t>
  </si>
  <si>
    <t>Climax</t>
  </si>
  <si>
    <t>Gilman</t>
  </si>
  <si>
    <t>Circuit 9812: Smeltertown to Poncha 115kV</t>
  </si>
  <si>
    <t>Asset Renewal</t>
  </si>
  <si>
    <t>Poncha West</t>
  </si>
  <si>
    <t>Smeltertown</t>
  </si>
  <si>
    <t>Circuit 5207: Hopkins to Rifle 230kV</t>
  </si>
  <si>
    <t>Asset Renewal, WFRZ</t>
  </si>
  <si>
    <t>Hopkins</t>
  </si>
  <si>
    <t>Rifle</t>
  </si>
  <si>
    <t>Circuit 5205: Parachute to Rifle 230kV</t>
  </si>
  <si>
    <t>Parachute</t>
  </si>
  <si>
    <t>Circuit 5509: Bluestone Valley to Parachute 230kV</t>
  </si>
  <si>
    <t>Bluestone Valley</t>
  </si>
  <si>
    <t>Circuit 55123: Bluestone Valley to Cameo 230kV</t>
  </si>
  <si>
    <t>Cameo</t>
  </si>
  <si>
    <t>Circuit 5245: Hopkins to Hagerman Pass 230kV</t>
  </si>
  <si>
    <t>Hagerman Pass</t>
  </si>
  <si>
    <t>Circuit 5245: Hagerman Pass to Malta 230kV</t>
  </si>
  <si>
    <t>Malta</t>
  </si>
  <si>
    <t>Circuit 5785: Cooley Mesa to Wolcott 230kV</t>
  </si>
  <si>
    <t>Cooley Mesa</t>
  </si>
  <si>
    <t>Wolcott</t>
  </si>
  <si>
    <t>Circuit 5787: Cooley Mesa to Basalt 230kV</t>
  </si>
  <si>
    <t>Basalt</t>
  </si>
  <si>
    <t>Circuit 9188: Climax to Summit 115kV</t>
  </si>
  <si>
    <t>Summit</t>
  </si>
  <si>
    <t>Circuits 9046, 9054, &amp; 9688: Eldorado to Valmont, Valmont to Ralston, Ralston to Eldorado 115kV</t>
  </si>
  <si>
    <t>Ralston</t>
  </si>
  <si>
    <t>Valmont</t>
  </si>
  <si>
    <t>Owl Head Ranch Switchyard. Loop-in of Tortolita - North Loop 138 kV Line # 118</t>
  </si>
  <si>
    <t>New Owl Head Ranch Switchyard looping in the Tortolita to North Loop 138 kV line # 118</t>
  </si>
  <si>
    <t>Tortolita 138 kV Substation</t>
  </si>
  <si>
    <t>North Loop 138 kV Substation</t>
  </si>
  <si>
    <t>Owl Head Ranch to Grier 2nd 138 kV Circuit</t>
  </si>
  <si>
    <t>2nd 138 kV Line from Owl Head Ranch to Grier</t>
  </si>
  <si>
    <t>Owl Head Ranch 138 kV Substation</t>
  </si>
  <si>
    <t>South Houghton 138 kV Switchyard</t>
  </si>
  <si>
    <t xml:space="preserve">New South Houghton 138 kV Switchyard looping in the existing Vail - Los Reales 138 kV line, Vail - Cienega 138 kV line, and Vail - Whetstone 138 kV line. </t>
  </si>
  <si>
    <t>Loop-in of existing Greenlee - Vail 345 kV line into Winchester 345 kV Substation</t>
  </si>
  <si>
    <t>Loop-in Greenlee - Vail 345 kV express line into existing Winchester 345 kV Substation creating Greenlee - Winchester #2 and Winchester - Vail #2.</t>
  </si>
  <si>
    <t>Accommodate additional generation in the area</t>
  </si>
  <si>
    <t>Approx. 130</t>
  </si>
  <si>
    <t>Third 500/345 kV Transformer addition at Pinal West Substation</t>
  </si>
  <si>
    <t>To increase import capability into the TEP Load Pocket to accommodate increased forecasted load</t>
  </si>
  <si>
    <t>Sonoran to Santa Rita 138 kV Line</t>
  </si>
  <si>
    <t>Rancho Vistoso Capacitor Bank Addition</t>
  </si>
  <si>
    <t>One 39.6 MVAR capacitor bank added at Rancho Vistoso Substation</t>
  </si>
  <si>
    <t>Rancho Vistoso</t>
  </si>
  <si>
    <t>DeMoss Petrie Capacitor Bank Addition</t>
  </si>
  <si>
    <t>One 26.4 MVAR capacitor bank addition at DeMoss Petrie Substation</t>
  </si>
  <si>
    <t>Voltage support of the TEP HV system</t>
  </si>
  <si>
    <t>DeMoss Petrie Substation</t>
  </si>
  <si>
    <t>Springerville to Greenlee 345 kV Line - Third Circuit</t>
  </si>
  <si>
    <t>Parallell and adjacent third circuit on existing Springerville to Greenlee lines.</t>
  </si>
  <si>
    <t>Reinforce TEP's transmission system and provide additional transmission capacity</t>
  </si>
  <si>
    <t>Springerville Substation</t>
  </si>
  <si>
    <t>Greenlee Substation</t>
  </si>
  <si>
    <t>110 miles total, 27 miles in Arizona</t>
  </si>
  <si>
    <t xml:space="preserve">Owl Head Ranch to Grier 1st 138 kV circuit </t>
  </si>
  <si>
    <t>Grier 138 kV Switchyard</t>
  </si>
  <si>
    <t>Midvale - TEPTDA 2nd 138 kV circuit</t>
  </si>
  <si>
    <t>Midvale to TEPTDA 2nd 138 kV circuit</t>
  </si>
  <si>
    <t>Vail to South Houghton 4th 138 kV circuit</t>
  </si>
  <si>
    <t>Robert Bills to Vail 138 kV reconductor</t>
  </si>
  <si>
    <t>Reconductor of exisiting Robert Bills to Vail line</t>
  </si>
  <si>
    <t>Robert Bills 138 kV Substation</t>
  </si>
  <si>
    <t>Robert Bills to Sonoran 138 kV reconductor</t>
  </si>
  <si>
    <t>Reconductor of existing Robert Bills to Sonoran line</t>
  </si>
  <si>
    <t>Afton-Newman 345kV Line Reconfiguration, In and Out in Vado 345 kV Substation. Existing Afton-Newman 345kV Line becomes Afton-Vado and Vado-Newman 345kV lines.</t>
  </si>
  <si>
    <t>Afton 345</t>
  </si>
  <si>
    <t>This project involves the rebuilding and reconfiguring the Horizon-Seabeck 115 kV line part of the Horizon-Wicked-San Felipe 115 kV Line portion of the East Side Loop Expansion Project.</t>
  </si>
  <si>
    <t>Seabeck-Wicked-San Felipe 115 kV Line (Reconfiguration)</t>
  </si>
  <si>
    <t>This project involves the reconfiguring the Seabeck-Wicked-San Felipe 115 kV part of the Horizon-Wicked-San Felipe 115 kV Line portion of the East Side Loop Expansion Project.</t>
  </si>
  <si>
    <t>Pine Switching Station 345/115 kV (New)</t>
  </si>
  <si>
    <t>This project involves the construction of a new Pine 345/115 kV Switching Station that will be part of the East Side Loop Expansion Project.</t>
  </si>
  <si>
    <t>345/115 kV</t>
  </si>
  <si>
    <t>Vado 2 x 224 MVA Vado 345/115 kV Autotransformers (New)</t>
  </si>
  <si>
    <t>Rio Grande-Executive-Sunset North 115 kV Line (Rebuild/Reconductor)</t>
  </si>
  <si>
    <t>Arroyo-Moongate 115 kV line - Reconductor, Reconfiguration</t>
  </si>
  <si>
    <t>In 2027, the existing Arroyo to Apollo 115 kV line will be changed to an in-and-out configuration resulting in the Arroyo to Moongate 115 kV line and the Moongate to Apollo 115 kV line.  The latter is covered as a separate line item. The reconductor portion for the Arroyo-Moongate 115 kV line portion will result in an uprate of the line.</t>
  </si>
  <si>
    <t>Horizon-Wicked-San Felipe 115 kV Line (New)</t>
  </si>
  <si>
    <t>Passmore Bovee Substation (New) and Related 69 kV Line
Reconductor and Reconfiguration</t>
  </si>
  <si>
    <t>Marvin (FE6) 115 kV Switching Substation and Related 115 kV Line Reconfiguration</t>
  </si>
  <si>
    <t xml:space="preserve">Mirage 345 kV Substation, Airport to Mirage 345 kV line and Related 345 kV Line Reconfiguration
</t>
  </si>
  <si>
    <t>2027-</t>
  </si>
  <si>
    <t>TBD-</t>
  </si>
  <si>
    <t>2036-</t>
  </si>
  <si>
    <t>2025-</t>
  </si>
  <si>
    <t>2026-</t>
  </si>
  <si>
    <t>2024-</t>
  </si>
  <si>
    <t>2028-</t>
  </si>
  <si>
    <t>Triton DP</t>
  </si>
  <si>
    <t>New tap at Lost Creek to serve new Triton delivery point</t>
  </si>
  <si>
    <t>Lost Creek Tap</t>
  </si>
  <si>
    <t>Triton</t>
  </si>
  <si>
    <t>Mora Project</t>
  </si>
  <si>
    <t>A new breaker bay will be installed at Springer to connect the Mora generation and transmission project (constructed by others).</t>
  </si>
  <si>
    <t>Springer</t>
  </si>
  <si>
    <t>Kinnan DP</t>
  </si>
  <si>
    <t>New Delivery Point substation tapping WAPA's Whiterock-Stegall line.</t>
  </si>
  <si>
    <t>Whiterock</t>
  </si>
  <si>
    <t>Iron Muontain DP</t>
  </si>
  <si>
    <t>New Delivery Point substation tapping the Airport - Windsor line.</t>
  </si>
  <si>
    <t>Windsor</t>
  </si>
  <si>
    <t>Breaker addition at Montrose Substation</t>
  </si>
  <si>
    <t>Add two 115 kV breakers to the Montrose Substation main-and-transfer bus to accommodate a generator interconnection</t>
  </si>
  <si>
    <t>Montrose</t>
  </si>
  <si>
    <t>Sunrise DP</t>
  </si>
  <si>
    <t>New load serving substation outside of South Kersey.</t>
  </si>
  <si>
    <t>South Kersey</t>
  </si>
  <si>
    <t>Sunrise</t>
  </si>
  <si>
    <t>Richie Gulch</t>
  </si>
  <si>
    <t>New Delivery Point substation tapping the Portland - West Station line.</t>
  </si>
  <si>
    <t>Thoreau DP</t>
  </si>
  <si>
    <t>New Delivery Point substation tapping the Ciniza - Escalante line.</t>
  </si>
  <si>
    <t>Ciniza</t>
  </si>
  <si>
    <t>Exalante</t>
  </si>
  <si>
    <t>2025-1693</t>
  </si>
  <si>
    <t>2027-1694</t>
  </si>
  <si>
    <t>2026-1695</t>
  </si>
  <si>
    <t>2026-1696</t>
  </si>
  <si>
    <t>2026-1697</t>
  </si>
  <si>
    <t>2029-1698</t>
  </si>
  <si>
    <t>2027-1699</t>
  </si>
  <si>
    <t>2029-1700</t>
  </si>
  <si>
    <t>CE-2 Substation (New) and Related 115 kV West Loop Line Reconfiguration</t>
  </si>
  <si>
    <t xml:space="preserve">This project involves the addition of a new CE2 Substation with an in- and-out connection on the existing Rio Grande-Executive 115 kV Line resulting in the Rio Grande-CE2 115 kV Line and CE2-Executive 115 kV Line thereafter. </t>
  </si>
  <si>
    <t>CE-2</t>
  </si>
  <si>
    <t>2027-1272</t>
  </si>
  <si>
    <t>CE3 Substation (New) and Related 115 kV West Loop Line Reconfiguration</t>
  </si>
  <si>
    <t>This project involves the construction of the CE3 Substation with an in- and-out connection on the rebuilt Rio Grande-Sunset North 115 kV Line.</t>
  </si>
  <si>
    <t>CE-3</t>
  </si>
  <si>
    <t>2029-1276</t>
  </si>
  <si>
    <t>CE-4 Substation (New) and Related 115 kV West Loop Line Reconfiguration</t>
  </si>
  <si>
    <t>CE-4</t>
  </si>
  <si>
    <t>2030-1280</t>
  </si>
  <si>
    <t>In-and-Out into Vado 345 kV Substation from Afton-Newman 345 kV Line (Same as aforementioned project)</t>
  </si>
  <si>
    <t>The addition of Vado 345/115 kV Substation includes an in-and-out connection on the Afton- Newman 345 kV transmission line with terminations into Vado 345 kV resulting in the Afton-Vado 345 kV Line and the Vado-Newman 345 kV Line.</t>
  </si>
  <si>
    <t>Afton North-Newman</t>
  </si>
  <si>
    <t>2028-1282</t>
  </si>
  <si>
    <t>Americas-Passmore 69 kV Line (Reconductor)</t>
  </si>
  <si>
    <t>Passmore</t>
  </si>
  <si>
    <t>2026-1446</t>
  </si>
  <si>
    <t>Newman 2 Thermal Generation Conversion to Synchronous Condenser</t>
  </si>
  <si>
    <t>Voltage, reactive, inertial, reliability support</t>
  </si>
  <si>
    <t xml:space="preserve">Newman </t>
  </si>
  <si>
    <t>2027-1451</t>
  </si>
  <si>
    <t>Afton-Newman 345kV Line Reconfiguration</t>
  </si>
  <si>
    <t>Reliability, Reconfiguration</t>
  </si>
  <si>
    <t>2028-1453</t>
  </si>
  <si>
    <t>Caliente 345/115 kV Autotransformer T3 (New)</t>
  </si>
  <si>
    <t>Reliability, Relieves potential thermal overloads under contingencies.</t>
  </si>
  <si>
    <t>2030-1464</t>
  </si>
  <si>
    <t>CE4-Executive 115 kV Line (New)</t>
  </si>
  <si>
    <t>CE4</t>
  </si>
  <si>
    <t>Executive</t>
  </si>
  <si>
    <t>2030-1465</t>
  </si>
  <si>
    <t>Copper Thermal Generation Conversion to Synchronous Condenser</t>
  </si>
  <si>
    <t>Copper</t>
  </si>
  <si>
    <t>2030-1469</t>
  </si>
  <si>
    <t>Newman 3 Thermal Generation Conversion to Synchronous Condenser</t>
  </si>
  <si>
    <t>2032-1471</t>
  </si>
  <si>
    <t>Newman 4 ST Thermal Generation Conversion to Synchronous Condenser</t>
  </si>
  <si>
    <t>2032-1472</t>
  </si>
  <si>
    <t>Dyer 115/69 kV Autotransformer T1 (Upgrade)</t>
  </si>
  <si>
    <t>2032-1473</t>
  </si>
  <si>
    <t>CE2-Rio Grande 115 kV Line (Rebuild)</t>
  </si>
  <si>
    <t>CE2</t>
  </si>
  <si>
    <t>2033-1475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</si>
</sst>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m/d/yy\ h:mm;@"/>
    <numFmt numFmtId="165" formatCode="[$-409]m/d/yy\ h:mm\ AM/PM;@"/>
  </numFmts>
  <fonts count="28" x14ac:knownFonts="1">
    <font>
      <sz val="11"/>
      <color theme="1"/>
      <name val="Calibri"/>
      <family val="2"/>
      <scheme val="minor"/>
    </font>
    <font>
      <b/>
      <sz val="11"/>
      <color indexed="8"/>
      <name val="Calibri"/>
      <family val="2"/>
    </font>
    <font>
      <sz val="11"/>
      <color indexed="8"/>
      <name val="Calibri"/>
      <family val="2"/>
    </font>
    <font>
      <sz val="11"/>
      <color indexed="8"/>
      <name val="Courier New"/>
      <family val="3"/>
    </font>
    <font>
      <sz val="11"/>
      <name val="Calibri"/>
      <family val="2"/>
    </font>
    <font>
      <b/>
      <u/>
      <sz val="11"/>
      <color indexed="8"/>
      <name val="Calibri"/>
      <family val="2"/>
    </font>
    <font>
      <sz val="8"/>
      <name val="Calibri"/>
      <family val="2"/>
    </font>
    <font>
      <u/>
      <sz val="11"/>
      <color theme="10"/>
      <name val="Calibri"/>
      <family val="2"/>
    </font>
    <font>
      <b/>
      <sz val="14"/>
      <color theme="1"/>
      <name val="Calibri"/>
      <family val="2"/>
      <scheme val="minor"/>
    </font>
    <font>
      <b/>
      <sz val="11"/>
      <color rgb="FFFF0000"/>
      <name val="Calibri"/>
      <family val="2"/>
      <scheme val="minor"/>
    </font>
    <font>
      <sz val="9"/>
      <color indexed="81"/>
      <name val="Tahoma"/>
      <family val="2"/>
    </font>
    <font>
      <b/>
      <u/>
      <sz val="11"/>
      <color rgb="FFFF0000"/>
      <name val="Calibri"/>
      <family val="2"/>
      <scheme val="minor"/>
    </font>
    <font>
      <b/>
      <sz val="15"/>
      <color indexed="8"/>
      <name val="Calibri"/>
      <family val="2"/>
    </font>
    <font>
      <b/>
      <sz val="13"/>
      <color indexed="8"/>
      <name val="Calibri"/>
      <family val="2"/>
    </font>
    <font>
      <sz val="6"/>
      <color theme="1"/>
      <name val="Calibri"/>
      <family val="2"/>
      <scheme val="minor"/>
    </font>
    <font>
      <sz val="11"/>
      <color theme="1"/>
      <name val="Calibri"/>
      <family val="2"/>
      <scheme val="minor"/>
    </font>
    <font>
      <sz val="11"/>
      <color rgb="FF000000"/>
      <name val="Calibri"/>
      <family val="2"/>
    </font>
    <font>
      <b/>
      <sz val="11"/>
      <color rgb="FF000000"/>
      <name val="Calibri"/>
      <family val="2"/>
    </font>
    <font>
      <sz val="8"/>
      <color indexed="8"/>
      <name val="Courier New"/>
      <family val="3"/>
    </font>
    <font>
      <b/>
      <sz val="8"/>
      <color indexed="8"/>
      <name val="Courier New"/>
      <family val="3"/>
    </font>
    <font>
      <i/>
      <sz val="8"/>
      <color indexed="8"/>
      <name val="Courier New"/>
      <family val="3"/>
    </font>
    <font>
      <b/>
      <sz val="8"/>
      <color rgb="FFFF0000"/>
      <name val="Courier New"/>
      <family val="3"/>
    </font>
    <font>
      <b/>
      <u/>
      <sz val="8"/>
      <color rgb="FF000000"/>
      <name val="Courier New"/>
      <family val="3"/>
    </font>
    <font>
      <sz val="8"/>
      <color indexed="22"/>
      <name val="Courier New"/>
      <family val="3"/>
    </font>
    <font>
      <b/>
      <sz val="11"/>
      <color indexed="8"/>
      <name val="Courier New"/>
      <family val="3"/>
    </font>
    <font>
      <sz val="8"/>
      <color indexed="8"/>
      <name val="Calibri"/>
      <family val="2"/>
    </font>
    <font>
      <b/>
      <sz val="8"/>
      <color rgb="FF000000"/>
      <name val="Courier New"/>
      <family val="3"/>
    </font>
    <font>
      <b/>
      <sz val="11"/>
      <color rgb="FFFF0000"/>
      <name val="Courier New"/>
      <family val="3"/>
    </font>
  </fonts>
  <fills count="9">
    <fill>
      <patternFill patternType="none"/>
    </fill>
    <fill>
      <patternFill patternType="gray125"/>
    </fill>
    <fill>
      <patternFill patternType="solid">
        <fgColor indexed="22"/>
        <bgColor indexed="64"/>
      </patternFill>
    </fill>
    <fill>
      <patternFill patternType="solid">
        <fgColor rgb="FFFFFF00"/>
        <bgColor indexed="64"/>
      </patternFill>
    </fill>
    <fill>
      <patternFill patternType="solid">
        <fgColor rgb="FF92D050"/>
        <bgColor indexed="64"/>
      </patternFill>
    </fill>
    <fill>
      <patternFill patternType="solid">
        <fgColor rgb="FFFFC000"/>
        <bgColor indexed="64"/>
      </patternFill>
    </fill>
    <fill>
      <patternFill patternType="solid">
        <fgColor theme="0" tint="-0.249977111117893"/>
        <bgColor indexed="64"/>
      </patternFill>
    </fill>
    <fill>
      <patternFill patternType="solid">
        <fgColor theme="0"/>
        <bgColor indexed="64"/>
      </patternFill>
    </fill>
    <fill>
      <patternFill patternType="solid">
        <fgColor theme="6" tint="0.79998168889431442"/>
        <bgColor indexed="64"/>
      </patternFill>
    </fill>
  </fills>
  <borders count="26">
    <border>
      <left/>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bottom style="thin">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55"/>
      </left>
      <right style="medium">
        <color indexed="55"/>
      </right>
      <top style="medium">
        <color indexed="55"/>
      </top>
      <bottom/>
      <diagonal/>
    </border>
    <border>
      <left style="medium">
        <color indexed="64"/>
      </left>
      <right/>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right/>
      <top style="thin">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s>
  <cellStyleXfs count="3">
    <xf numFmtId="0" fontId="0" fillId="0" borderId="0" applyProtection="0"/>
    <xf numFmtId="0" fontId="7" fillId="0" borderId="0" applyNumberFormat="0" applyFill="0" applyBorder="0" applyAlignment="0" applyProtection="0">
      <alignment vertical="top"/>
      <protection locked="0"/>
    </xf>
    <xf numFmtId="0" fontId="15" fillId="0" borderId="0"/>
  </cellStyleXfs>
  <cellXfs count="130">
    <xf numFmtId="0" fontId="0" fillId="0" borderId="0" xfId="0"/>
    <xf numFmtId="0" fontId="0" fillId="0" borderId="0" xfId="0" applyAlignment="1">
      <alignment vertical="center"/>
    </xf>
    <xf numFmtId="0" fontId="1" fillId="0" borderId="0" xfId="0" applyFont="1" applyAlignment="1">
      <alignment vertical="center"/>
    </xf>
    <xf numFmtId="0" fontId="1" fillId="0" borderId="0" xfId="0" applyFont="1" applyAlignment="1">
      <alignment vertical="top"/>
    </xf>
    <xf numFmtId="0" fontId="0" fillId="0" borderId="0" xfId="0" applyAlignment="1">
      <alignment vertical="top"/>
    </xf>
    <xf numFmtId="0" fontId="0" fillId="0" borderId="0" xfId="0" applyAlignment="1">
      <alignment horizontal="left" vertical="top" wrapText="1"/>
    </xf>
    <xf numFmtId="0" fontId="0" fillId="0" borderId="0" xfId="0" applyAlignment="1">
      <alignment horizontal="left"/>
    </xf>
    <xf numFmtId="0" fontId="0" fillId="0" borderId="0" xfId="0" applyAlignment="1">
      <alignment horizontal="left" vertical="center" wrapText="1"/>
    </xf>
    <xf numFmtId="0" fontId="0" fillId="0" borderId="3" xfId="0" applyBorder="1"/>
    <xf numFmtId="0" fontId="7" fillId="0" borderId="0" xfId="1" applyBorder="1" applyAlignment="1" applyProtection="1"/>
    <xf numFmtId="0" fontId="4" fillId="0" borderId="2" xfId="0" applyFont="1" applyBorder="1" applyAlignment="1" applyProtection="1">
      <alignment horizontal="center"/>
      <protection locked="0"/>
    </xf>
    <xf numFmtId="0" fontId="0" fillId="0" borderId="0" xfId="0" quotePrefix="1"/>
    <xf numFmtId="165" fontId="0" fillId="0" borderId="4" xfId="0" applyNumberFormat="1" applyBorder="1"/>
    <xf numFmtId="0" fontId="2" fillId="0" borderId="5" xfId="0" applyFont="1" applyBorder="1"/>
    <xf numFmtId="0" fontId="2" fillId="0" borderId="6" xfId="0" applyFont="1" applyBorder="1"/>
    <xf numFmtId="0" fontId="2" fillId="0" borderId="7" xfId="0" applyFont="1" applyBorder="1"/>
    <xf numFmtId="0" fontId="5" fillId="0" borderId="8" xfId="0" applyFont="1" applyBorder="1"/>
    <xf numFmtId="0" fontId="0" fillId="0" borderId="9" xfId="0" applyBorder="1"/>
    <xf numFmtId="0" fontId="0" fillId="0" borderId="8" xfId="0" applyBorder="1"/>
    <xf numFmtId="0" fontId="2" fillId="0" borderId="10" xfId="0" applyFont="1" applyBorder="1"/>
    <xf numFmtId="0" fontId="2" fillId="0" borderId="11" xfId="0" applyFont="1" applyBorder="1"/>
    <xf numFmtId="0" fontId="2" fillId="0" borderId="12" xfId="0" applyFont="1" applyBorder="1"/>
    <xf numFmtId="0" fontId="8" fillId="0" borderId="0" xfId="0" applyFont="1"/>
    <xf numFmtId="0" fontId="2" fillId="2" borderId="13" xfId="0" applyFont="1" applyFill="1" applyBorder="1"/>
    <xf numFmtId="0" fontId="0" fillId="0" borderId="4" xfId="0" applyBorder="1"/>
    <xf numFmtId="0" fontId="0" fillId="0" borderId="0" xfId="0" applyAlignment="1">
      <alignment wrapText="1"/>
    </xf>
    <xf numFmtId="0" fontId="0" fillId="0" borderId="0" xfId="0" applyProtection="1">
      <protection locked="0"/>
    </xf>
    <xf numFmtId="0" fontId="0" fillId="0" borderId="4" xfId="0" applyBorder="1" applyProtection="1">
      <protection locked="0"/>
    </xf>
    <xf numFmtId="0" fontId="7" fillId="0" borderId="4" xfId="1" applyBorder="1" applyAlignment="1" applyProtection="1"/>
    <xf numFmtId="0" fontId="2" fillId="0" borderId="15" xfId="0" applyFont="1" applyBorder="1"/>
    <xf numFmtId="0" fontId="2" fillId="0" borderId="16" xfId="0" applyFont="1" applyBorder="1"/>
    <xf numFmtId="0" fontId="1" fillId="0" borderId="0" xfId="0" quotePrefix="1" applyFont="1"/>
    <xf numFmtId="0" fontId="14" fillId="0" borderId="0" xfId="0" applyFont="1" applyAlignment="1">
      <alignment vertical="top"/>
    </xf>
    <xf numFmtId="0" fontId="14" fillId="0" borderId="0" xfId="0" applyFont="1" applyAlignment="1">
      <alignment horizontal="left" vertical="top" wrapText="1"/>
    </xf>
    <xf numFmtId="0" fontId="14" fillId="0" borderId="0" xfId="0" applyFont="1"/>
    <xf numFmtId="0" fontId="3" fillId="0" borderId="0" xfId="0" applyFont="1"/>
    <xf numFmtId="0" fontId="0" fillId="5" borderId="0" xfId="0" applyFill="1" applyProtection="1">
      <protection locked="0"/>
    </xf>
    <xf numFmtId="0" fontId="0" fillId="3" borderId="0" xfId="0" applyFill="1" applyProtection="1">
      <protection locked="0"/>
    </xf>
    <xf numFmtId="0" fontId="0" fillId="4" borderId="0" xfId="0" applyFill="1" applyProtection="1">
      <protection locked="0"/>
    </xf>
    <xf numFmtId="164" fontId="0" fillId="0" borderId="0" xfId="0" applyNumberFormat="1"/>
    <xf numFmtId="22" fontId="0" fillId="0" borderId="0" xfId="0" applyNumberFormat="1"/>
    <xf numFmtId="14" fontId="0" fillId="0" borderId="0" xfId="0" applyNumberFormat="1"/>
    <xf numFmtId="0" fontId="2" fillId="0" borderId="21" xfId="0" applyFont="1" applyBorder="1"/>
    <xf numFmtId="0" fontId="2" fillId="0" borderId="22" xfId="0" applyFont="1" applyBorder="1"/>
    <xf numFmtId="0" fontId="2" fillId="0" borderId="23" xfId="0" applyFont="1" applyBorder="1"/>
    <xf numFmtId="0" fontId="2" fillId="0" borderId="24" xfId="0" applyFont="1" applyBorder="1"/>
    <xf numFmtId="0" fontId="0" fillId="0" borderId="11" xfId="0" applyBorder="1"/>
    <xf numFmtId="0" fontId="0" fillId="0" borderId="5" xfId="0" applyBorder="1"/>
    <xf numFmtId="0" fontId="2" fillId="2" borderId="2" xfId="0" applyFont="1" applyFill="1" applyBorder="1"/>
    <xf numFmtId="0" fontId="18" fillId="0" borderId="0" xfId="0" applyFont="1" applyAlignment="1">
      <alignment vertical="center"/>
    </xf>
    <xf numFmtId="0" fontId="20" fillId="0" borderId="0" xfId="0" applyFont="1" applyAlignment="1">
      <alignment horizontal="center" vertical="center"/>
    </xf>
    <xf numFmtId="0" fontId="18" fillId="0" borderId="0" xfId="0" applyFont="1" applyAlignment="1">
      <alignment horizontal="left" vertical="center"/>
    </xf>
    <xf numFmtId="0" fontId="18" fillId="2" borderId="2" xfId="0" applyFont="1" applyFill="1" applyBorder="1" applyAlignment="1">
      <alignment horizontal="left" vertical="center" wrapText="1"/>
    </xf>
    <xf numFmtId="0" fontId="18" fillId="2" borderId="2" xfId="0" applyFont="1" applyFill="1" applyBorder="1" applyAlignment="1">
      <alignment vertical="center" wrapText="1"/>
    </xf>
    <xf numFmtId="0" fontId="21" fillId="0" borderId="0" xfId="0" applyFont="1" applyAlignment="1">
      <alignment vertical="center"/>
    </xf>
    <xf numFmtId="0" fontId="18" fillId="6" borderId="2" xfId="0" applyFont="1" applyFill="1" applyBorder="1" applyAlignment="1">
      <alignment horizontal="left" vertical="center" wrapText="1"/>
    </xf>
    <xf numFmtId="0" fontId="18" fillId="2" borderId="2" xfId="0" applyFont="1" applyFill="1" applyBorder="1" applyAlignment="1">
      <alignment vertical="center"/>
    </xf>
    <xf numFmtId="0" fontId="18" fillId="0" borderId="0" xfId="0" applyFont="1" applyAlignment="1">
      <alignment horizontal="left" vertical="center" wrapText="1"/>
    </xf>
    <xf numFmtId="0" fontId="18" fillId="0" borderId="0" xfId="0" applyFont="1" applyAlignment="1" applyProtection="1">
      <alignment horizontal="left" vertical="center" wrapText="1"/>
    </xf>
    <xf numFmtId="0" fontId="19" fillId="0" borderId="0" xfId="0" applyFont="1" applyAlignment="1">
      <alignment vertical="center"/>
    </xf>
    <xf numFmtId="0" fontId="19" fillId="0" borderId="0" xfId="0" applyFont="1" applyAlignment="1" applyProtection="1">
      <alignment vertical="center"/>
    </xf>
    <xf numFmtId="0" fontId="18" fillId="6" borderId="2" xfId="0" applyFont="1" applyFill="1" applyBorder="1" applyAlignment="1">
      <alignment vertical="center" wrapText="1"/>
    </xf>
    <xf numFmtId="0" fontId="18" fillId="0" borderId="0" xfId="0" applyFont="1" applyAlignment="1" applyProtection="1">
      <alignment horizontal="left" vertical="center"/>
    </xf>
    <xf numFmtId="0" fontId="18" fillId="0" borderId="0" xfId="0" applyFont="1" applyAlignment="1">
      <alignment vertical="center" wrapText="1"/>
    </xf>
    <xf numFmtId="22" fontId="19" fillId="0" borderId="0" xfId="0" applyNumberFormat="1" applyFont="1" applyAlignment="1">
      <alignment horizontal="left" vertical="center" wrapText="1"/>
    </xf>
    <xf numFmtId="0" fontId="18" fillId="0" borderId="19" xfId="0" applyFont="1" applyBorder="1" applyAlignment="1">
      <alignment horizontal="center" vertical="center"/>
    </xf>
    <xf numFmtId="0" fontId="18" fillId="0" borderId="18" xfId="0" applyFont="1" applyBorder="1" applyAlignment="1" applyProtection="1">
      <alignment horizontal="center" vertical="center"/>
      <protection locked="0"/>
    </xf>
    <xf numFmtId="0" fontId="18" fillId="0" borderId="2" xfId="0" applyFont="1" applyBorder="1" applyAlignment="1" applyProtection="1">
      <alignment horizontal="center" vertical="center"/>
      <protection locked="0"/>
    </xf>
    <xf numFmtId="0" fontId="18" fillId="0" borderId="17" xfId="0" applyFont="1" applyBorder="1" applyAlignment="1" applyProtection="1">
      <alignment horizontal="center" vertical="center"/>
      <protection locked="0"/>
    </xf>
    <xf numFmtId="0" fontId="24" fillId="7" borderId="0" xfId="0" applyFont="1" applyFill="1" applyAlignment="1">
      <alignment vertical="center"/>
    </xf>
    <xf numFmtId="0" fontId="18" fillId="7" borderId="0" xfId="0" applyFont="1" applyFill="1" applyAlignment="1">
      <alignment vertical="center"/>
    </xf>
    <xf numFmtId="0" fontId="18" fillId="7" borderId="0" xfId="0" applyFont="1" applyFill="1" applyAlignment="1" applyProtection="1">
      <alignment vertical="center"/>
    </xf>
    <xf numFmtId="0" fontId="19" fillId="7" borderId="0" xfId="0" applyFont="1" applyFill="1" applyAlignment="1">
      <alignment vertical="center"/>
    </xf>
    <xf numFmtId="0" fontId="18" fillId="7" borderId="2" xfId="0" applyFont="1" applyFill="1" applyBorder="1" applyAlignment="1">
      <alignment horizontal="left" vertical="center" wrapText="1"/>
    </xf>
    <xf numFmtId="0" fontId="18" fillId="7" borderId="2" xfId="0" applyFont="1" applyFill="1" applyBorder="1" applyAlignment="1">
      <alignment horizontal="left" vertical="center" wrapText="1" indent="2"/>
    </xf>
    <xf numFmtId="0" fontId="18" fillId="7" borderId="20" xfId="0" applyFont="1" applyFill="1" applyBorder="1" applyAlignment="1">
      <alignment horizontal="left" vertical="center" wrapText="1"/>
    </xf>
    <xf numFmtId="0" fontId="18" fillId="7" borderId="20" xfId="0" applyFont="1" applyFill="1" applyBorder="1" applyAlignment="1" applyProtection="1">
      <alignment vertical="center"/>
    </xf>
    <xf numFmtId="0" fontId="18" fillId="7" borderId="0" xfId="0" applyFont="1" applyFill="1" applyAlignment="1">
      <alignment horizontal="left" vertical="center"/>
    </xf>
    <xf numFmtId="0" fontId="18" fillId="7" borderId="0" xfId="0" applyFont="1" applyFill="1" applyAlignment="1" applyProtection="1">
      <alignment horizontal="left" vertical="center"/>
    </xf>
    <xf numFmtId="0" fontId="23" fillId="7" borderId="0" xfId="0" applyFont="1" applyFill="1" applyAlignment="1">
      <alignment horizontal="left" vertical="center"/>
    </xf>
    <xf numFmtId="0" fontId="23" fillId="7" borderId="0" xfId="0" applyFont="1" applyFill="1" applyAlignment="1" applyProtection="1">
      <alignment horizontal="left" vertical="center"/>
    </xf>
    <xf numFmtId="0" fontId="23" fillId="7" borderId="0" xfId="0" applyFont="1" applyFill="1" applyAlignment="1">
      <alignment vertical="center" wrapText="1"/>
    </xf>
    <xf numFmtId="0" fontId="23" fillId="7" borderId="0" xfId="0" applyFont="1" applyFill="1" applyAlignment="1">
      <alignment vertical="center"/>
    </xf>
    <xf numFmtId="0" fontId="18" fillId="7" borderId="9" xfId="0" applyFont="1" applyFill="1" applyBorder="1" applyAlignment="1">
      <alignment horizontal="left" vertical="center" wrapText="1"/>
    </xf>
    <xf numFmtId="0" fontId="18" fillId="7" borderId="19" xfId="0" applyFont="1" applyFill="1" applyBorder="1" applyAlignment="1">
      <alignment horizontal="left" vertical="center"/>
    </xf>
    <xf numFmtId="0" fontId="18" fillId="7" borderId="19" xfId="0" applyFont="1" applyFill="1" applyBorder="1" applyAlignment="1">
      <alignment vertical="center"/>
    </xf>
    <xf numFmtId="0" fontId="18" fillId="7" borderId="10" xfId="0" applyFont="1" applyFill="1" applyBorder="1" applyAlignment="1">
      <alignment horizontal="left" vertical="center"/>
    </xf>
    <xf numFmtId="0" fontId="18" fillId="7" borderId="18" xfId="0" applyFont="1" applyFill="1" applyBorder="1" applyAlignment="1">
      <alignment horizontal="left" vertical="center"/>
    </xf>
    <xf numFmtId="20" fontId="18" fillId="7" borderId="18" xfId="0" applyNumberFormat="1" applyFont="1" applyFill="1" applyBorder="1" applyAlignment="1" applyProtection="1">
      <alignment horizontal="left" vertical="center"/>
      <protection locked="0"/>
    </xf>
    <xf numFmtId="0" fontId="18" fillId="7" borderId="18" xfId="0" applyFont="1" applyFill="1" applyBorder="1" applyAlignment="1" applyProtection="1">
      <alignment horizontal="left" vertical="center"/>
      <protection locked="0"/>
    </xf>
    <xf numFmtId="0" fontId="18" fillId="7" borderId="11" xfId="0" applyFont="1" applyFill="1" applyBorder="1" applyAlignment="1">
      <alignment horizontal="left" vertical="center"/>
    </xf>
    <xf numFmtId="0" fontId="18" fillId="7" borderId="2" xfId="0" applyFont="1" applyFill="1" applyBorder="1" applyAlignment="1">
      <alignment horizontal="left" vertical="center"/>
    </xf>
    <xf numFmtId="0" fontId="18" fillId="7" borderId="2" xfId="0" applyFont="1" applyFill="1" applyBorder="1" applyAlignment="1" applyProtection="1">
      <alignment horizontal="left" vertical="center"/>
      <protection locked="0"/>
    </xf>
    <xf numFmtId="0" fontId="18" fillId="7" borderId="12" xfId="0" applyFont="1" applyFill="1" applyBorder="1" applyAlignment="1">
      <alignment horizontal="left" vertical="center"/>
    </xf>
    <xf numFmtId="0" fontId="18" fillId="7" borderId="17" xfId="0" applyFont="1" applyFill="1" applyBorder="1" applyAlignment="1">
      <alignment horizontal="left" vertical="center"/>
    </xf>
    <xf numFmtId="0" fontId="18" fillId="7" borderId="17" xfId="0" applyFont="1" applyFill="1" applyBorder="1" applyAlignment="1" applyProtection="1">
      <alignment horizontal="left" vertical="center"/>
      <protection locked="0"/>
    </xf>
    <xf numFmtId="0" fontId="18" fillId="7" borderId="1" xfId="0" applyFont="1" applyFill="1" applyBorder="1" applyAlignment="1">
      <alignment vertical="center"/>
    </xf>
    <xf numFmtId="0" fontId="18" fillId="7" borderId="18" xfId="0" applyFont="1" applyFill="1" applyBorder="1" applyAlignment="1">
      <alignment horizontal="left" vertical="center" wrapText="1" indent="2"/>
    </xf>
    <xf numFmtId="0" fontId="18" fillId="7" borderId="2" xfId="0" applyFont="1" applyFill="1" applyBorder="1" applyAlignment="1">
      <alignment vertical="center"/>
    </xf>
    <xf numFmtId="0" fontId="21" fillId="8" borderId="25" xfId="0" applyFont="1" applyFill="1" applyBorder="1" applyAlignment="1">
      <alignment vertical="center"/>
    </xf>
    <xf numFmtId="0" fontId="21" fillId="8" borderId="25" xfId="0" applyFont="1" applyFill="1" applyBorder="1" applyAlignment="1">
      <alignment vertical="center" wrapText="1"/>
    </xf>
    <xf numFmtId="0" fontId="24" fillId="0" borderId="0" xfId="0" applyFont="1" applyAlignment="1">
      <alignment vertical="center"/>
    </xf>
    <xf numFmtId="0" fontId="19" fillId="2" borderId="2" xfId="0" applyFont="1" applyFill="1" applyBorder="1" applyAlignment="1">
      <alignment horizontal="left" vertical="center"/>
    </xf>
    <xf numFmtId="0" fontId="18" fillId="0" borderId="2" xfId="0" applyFont="1" applyBorder="1" applyAlignment="1" applyProtection="1">
      <alignment horizontal="left" vertical="center" wrapText="1"/>
      <protection locked="0"/>
    </xf>
    <xf numFmtId="0" fontId="18" fillId="0" borderId="2" xfId="0" applyFont="1" applyBorder="1" applyAlignment="1" applyProtection="1">
      <alignment horizontal="left" vertical="center"/>
      <protection locked="0"/>
    </xf>
    <xf numFmtId="0" fontId="18" fillId="0" borderId="2" xfId="0" applyFont="1" applyBorder="1" applyAlignment="1" applyProtection="1">
      <alignment vertical="center"/>
      <protection locked="0"/>
    </xf>
    <xf numFmtId="22" fontId="19" fillId="0" borderId="2" xfId="0" applyNumberFormat="1" applyFont="1" applyBorder="1" applyAlignment="1">
      <alignment horizontal="left" vertical="center" wrapText="1"/>
    </xf>
    <xf numFmtId="0" fontId="18" fillId="0" borderId="2" xfId="0" applyFont="1" applyBorder="1" applyAlignment="1" applyProtection="1">
      <alignment vertical="center" wrapText="1"/>
      <protection locked="0"/>
    </xf>
    <xf numFmtId="0" fontId="18" fillId="0" borderId="18" xfId="0" applyFont="1" applyBorder="1" applyAlignment="1" applyProtection="1">
      <alignment vertical="center" wrapText="1"/>
      <protection locked="0"/>
    </xf>
    <xf numFmtId="0" fontId="23" fillId="0" borderId="0" xfId="0" applyFont="1" applyAlignment="1">
      <alignment horizontal="left" vertical="center"/>
    </xf>
    <xf numFmtId="22" fontId="23" fillId="0" borderId="0" xfId="0" applyNumberFormat="1" applyFont="1" applyAlignment="1">
      <alignment horizontal="left" vertical="center"/>
    </xf>
    <xf numFmtId="14" fontId="23" fillId="0" borderId="0" xfId="0" applyNumberFormat="1" applyFont="1" applyAlignment="1">
      <alignment horizontal="left" vertical="center"/>
    </xf>
    <xf numFmtId="0" fontId="19" fillId="0" borderId="2" xfId="0" applyFont="1" applyBorder="1" applyAlignment="1">
      <alignment horizontal="left" vertical="center" wrapText="1"/>
    </xf>
    <xf numFmtId="0" fontId="0" fillId="0" borderId="14" xfId="0" applyBorder="1" applyAlignment="1">
      <alignment horizontal="center" wrapText="1"/>
    </xf>
    <xf numFmtId="0" fontId="0" fillId="0" borderId="0" xfId="0" applyAlignment="1">
      <alignment horizontal="center" wrapText="1"/>
    </xf>
    <xf numFmtId="0" fontId="9" fillId="0" borderId="0" xfId="0" applyFont="1" applyAlignment="1">
      <alignment horizontal="center" wrapText="1"/>
    </xf>
    <xf numFmtId="0" fontId="18" fillId="0" borderId="17" xfId="0" applyFont="1" applyBorder="1" applyAlignment="1" applyProtection="1">
      <alignment horizontal="center" vertical="center"/>
      <protection locked="0"/>
    </xf>
    <xf numFmtId="0" fontId="18" fillId="0" borderId="6" xfId="0" applyFont="1" applyBorder="1" applyAlignment="1" applyProtection="1">
      <alignment horizontal="center" vertical="center"/>
      <protection locked="0"/>
    </xf>
    <xf numFmtId="0" fontId="24" fillId="0" borderId="0" xfId="0" applyFont="1" applyAlignment="1">
      <alignment horizontal="center" vertical="center"/>
    </xf>
    <xf numFmtId="0" fontId="9" fillId="0" borderId="0" xfId="0" applyFont="1" applyAlignment="1">
      <alignment horizontal="center" vertical="center" wrapText="1"/>
    </xf>
    <xf numFmtId="0" fontId="18" fillId="0" borderId="19" xfId="0" applyFont="1" applyBorder="1" applyAlignment="1">
      <alignment horizontal="center" vertical="center"/>
    </xf>
    <xf numFmtId="0" fontId="18" fillId="0" borderId="8" xfId="0" applyFont="1" applyBorder="1" applyAlignment="1">
      <alignment horizontal="center" vertical="center"/>
    </xf>
    <xf numFmtId="0" fontId="18" fillId="0" borderId="18" xfId="0" applyFont="1" applyBorder="1" applyAlignment="1" applyProtection="1">
      <alignment horizontal="center" vertical="center"/>
      <protection locked="0"/>
    </xf>
    <xf numFmtId="0" fontId="18" fillId="0" borderId="7" xfId="0" applyFont="1" applyBorder="1" applyAlignment="1" applyProtection="1">
      <alignment horizontal="center" vertical="center"/>
      <protection locked="0"/>
    </xf>
    <xf numFmtId="0" fontId="18" fillId="0" borderId="2" xfId="0" applyFont="1" applyBorder="1" applyAlignment="1" applyProtection="1">
      <alignment horizontal="center" vertical="center"/>
      <protection locked="0"/>
    </xf>
    <xf numFmtId="0" fontId="18" fillId="0" borderId="5" xfId="0" applyFont="1" applyBorder="1" applyAlignment="1" applyProtection="1">
      <alignment horizontal="center" vertical="center"/>
      <protection locked="0"/>
    </xf>
    <xf numFmtId="0" fontId="14" fillId="0" borderId="0" xfId="0" applyFont="1" applyAlignment="1">
      <alignment horizontal="center" vertical="top"/>
    </xf>
    <xf numFmtId="0" fontId="12" fillId="0" borderId="0" xfId="0" applyFont="1" applyAlignment="1">
      <alignment horizontal="center"/>
    </xf>
    <xf numFmtId="0" fontId="12" fillId="0" borderId="0" xfId="0" quotePrefix="1" applyFont="1" applyAlignment="1">
      <alignment horizontal="center"/>
    </xf>
    <xf numFmtId="0" fontId="13" fillId="0" borderId="0" xfId="0" quotePrefix="1" applyFont="1" applyAlignment="1">
      <alignment horizontal="center" vertical="center"/>
    </xf>
  </cellXfs>
  <cellStyles count="3">
    <cellStyle name="Hyperlink" xfId="1" builtinId="8"/>
    <cellStyle name="Normal" xfId="0" builtinId="0" customBuiltin="1"/>
    <cellStyle name="Normal 2" xfId="2" xr:uid="{00000000-0005-0000-0000-000002000000}"/>
  </cellStyles>
  <dxfs count="0"/>
  <tableStyles count="0" defaultTableStyle="TableStyleMedium9" defaultPivotStyle="PivotStyleLight16"/>
  <colors>
    <mruColors>
      <color rgb="FFFFFF99"/>
      <color rgb="FFFFCC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9525</xdr:colOff>
          <xdr:row>8</xdr:row>
          <xdr:rowOff>0</xdr:rowOff>
        </xdr:from>
        <xdr:to>
          <xdr:col>1</xdr:col>
          <xdr:colOff>2133600</xdr:colOff>
          <xdr:row>10</xdr:row>
          <xdr:rowOff>171450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Click after SPONSOR is selected</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absolute">
    <xdr:from>
      <xdr:col>0</xdr:col>
      <xdr:colOff>27304</xdr:colOff>
      <xdr:row>0</xdr:row>
      <xdr:rowOff>41066</xdr:rowOff>
    </xdr:from>
    <xdr:to>
      <xdr:col>3</xdr:col>
      <xdr:colOff>3141979</xdr:colOff>
      <xdr:row>0</xdr:row>
      <xdr:rowOff>480060</xdr:rowOff>
    </xdr:to>
    <xdr:sp macro="" textlink="">
      <xdr:nvSpPr>
        <xdr:cNvPr id="98" name="TextBox 97">
          <a:extLst>
            <a:ext uri="{FF2B5EF4-FFF2-40B4-BE49-F238E27FC236}">
              <a16:creationId xmlns:a16="http://schemas.microsoft.com/office/drawing/2014/main" id="{00000000-0008-0000-0100-000062000000}"/>
            </a:ext>
          </a:extLst>
        </xdr:cNvPr>
        <xdr:cNvSpPr txBox="1"/>
      </xdr:nvSpPr>
      <xdr:spPr>
        <a:xfrm>
          <a:off x="27304" y="41066"/>
          <a:ext cx="10353675" cy="43899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050" b="1" i="0" u="none" strike="noStrike">
              <a:solidFill>
                <a:srgbClr val="FF0000"/>
              </a:solidFill>
              <a:latin typeface="+mn-lt"/>
              <a:ea typeface="+mn-ea"/>
              <a:cs typeface="+mn-cs"/>
            </a:rPr>
            <a:t>The accuracy of the Project information entered is the responsibility of the individual Project Sponsor and will inform the WestConnect Base Transmission Plan.   </a:t>
          </a:r>
          <a:br>
            <a:rPr lang="en-US" sz="1050" b="1" i="0" u="none" strike="noStrike">
              <a:solidFill>
                <a:srgbClr val="FF0000"/>
              </a:solidFill>
              <a:latin typeface="+mn-lt"/>
              <a:ea typeface="+mn-ea"/>
              <a:cs typeface="+mn-cs"/>
            </a:rPr>
          </a:br>
          <a:r>
            <a:rPr lang="en-US" sz="1050" b="1" i="0" u="sng" strike="noStrike">
              <a:solidFill>
                <a:srgbClr val="FF0000"/>
              </a:solidFill>
              <a:latin typeface="+mn-lt"/>
              <a:ea typeface="+mn-ea"/>
              <a:cs typeface="+mn-cs"/>
            </a:rPr>
            <a:t>Do not</a:t>
          </a:r>
          <a:r>
            <a:rPr lang="en-US" sz="1050" b="1" i="0" u="none" strike="noStrike">
              <a:solidFill>
                <a:srgbClr val="FF0000"/>
              </a:solidFill>
              <a:latin typeface="+mn-lt"/>
              <a:ea typeface="+mn-ea"/>
              <a:cs typeface="+mn-cs"/>
            </a:rPr>
            <a:t> submit commercially sensitive information.</a:t>
          </a:r>
          <a:endParaRPr lang="en-US" sz="1050" b="1">
            <a:solidFill>
              <a:srgbClr val="FF0000"/>
            </a:solidFill>
          </a:endParaRP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443274</xdr:colOff>
          <xdr:row>2</xdr:row>
          <xdr:rowOff>111691</xdr:rowOff>
        </xdr:from>
        <xdr:to>
          <xdr:col>4</xdr:col>
          <xdr:colOff>2064252</xdr:colOff>
          <xdr:row>14</xdr:row>
          <xdr:rowOff>2197</xdr:rowOff>
        </xdr:to>
        <xdr:grpSp>
          <xdr:nvGrpSpPr>
            <xdr:cNvPr id="2" name="Group 1">
              <a:extLst>
                <a:ext uri="{FF2B5EF4-FFF2-40B4-BE49-F238E27FC236}">
                  <a16:creationId xmlns:a16="http://schemas.microsoft.com/office/drawing/2014/main" id="{00000000-0008-0000-0200-000002000000}"/>
                </a:ext>
              </a:extLst>
            </xdr:cNvPr>
            <xdr:cNvGrpSpPr/>
          </xdr:nvGrpSpPr>
          <xdr:grpSpPr>
            <a:xfrm>
              <a:off x="6268178" y="1049537"/>
              <a:ext cx="2126536" cy="2645429"/>
              <a:chOff x="9693088" y="986118"/>
              <a:chExt cx="2028266" cy="2532527"/>
            </a:xfrm>
          </xdr:grpSpPr>
          <xdr:sp macro="" textlink="">
            <xdr:nvSpPr>
              <xdr:cNvPr id="1093" name="Button 69" hidden="1">
                <a:extLst>
                  <a:ext uri="{63B3BB69-23CF-44E3-9099-C40C66FF867C}">
                    <a14:compatExt spid="_x0000_s1093"/>
                  </a:ext>
                  <a:ext uri="{FF2B5EF4-FFF2-40B4-BE49-F238E27FC236}">
                    <a16:creationId xmlns:a16="http://schemas.microsoft.com/office/drawing/2014/main" id="{00000000-0008-0000-0200-000045040000}"/>
                  </a:ext>
                </a:extLst>
              </xdr:cNvPr>
              <xdr:cNvSpPr/>
            </xdr:nvSpPr>
            <xdr:spPr bwMode="auto">
              <a:xfrm>
                <a:off x="9693088" y="986118"/>
                <a:ext cx="937933" cy="287431"/>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New Project</a:t>
                </a:r>
              </a:p>
            </xdr:txBody>
          </xdr:sp>
          <xdr:sp macro="" textlink="">
            <xdr:nvSpPr>
              <xdr:cNvPr id="1094" name="Button 70" hidden="1">
                <a:extLst>
                  <a:ext uri="{63B3BB69-23CF-44E3-9099-C40C66FF867C}">
                    <a14:compatExt spid="_x0000_s1094"/>
                  </a:ext>
                  <a:ext uri="{FF2B5EF4-FFF2-40B4-BE49-F238E27FC236}">
                    <a16:creationId xmlns:a16="http://schemas.microsoft.com/office/drawing/2014/main" id="{00000000-0008-0000-0200-000046040000}"/>
                  </a:ext>
                </a:extLst>
              </xdr:cNvPr>
              <xdr:cNvSpPr/>
            </xdr:nvSpPr>
            <xdr:spPr bwMode="auto">
              <a:xfrm>
                <a:off x="9693088" y="1389529"/>
                <a:ext cx="937933" cy="289112"/>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Save Project</a:t>
                </a:r>
              </a:p>
            </xdr:txBody>
          </xdr:sp>
          <xdr:sp macro="" textlink="">
            <xdr:nvSpPr>
              <xdr:cNvPr id="1095" name="Button 71" hidden="1">
                <a:extLst>
                  <a:ext uri="{63B3BB69-23CF-44E3-9099-C40C66FF867C}">
                    <a14:compatExt spid="_x0000_s1095"/>
                  </a:ext>
                  <a:ext uri="{FF2B5EF4-FFF2-40B4-BE49-F238E27FC236}">
                    <a16:creationId xmlns:a16="http://schemas.microsoft.com/office/drawing/2014/main" id="{00000000-0008-0000-0200-000047040000}"/>
                  </a:ext>
                </a:extLst>
              </xdr:cNvPr>
              <xdr:cNvSpPr/>
            </xdr:nvSpPr>
            <xdr:spPr bwMode="auto">
              <a:xfrm>
                <a:off x="9693088" y="1804147"/>
                <a:ext cx="937933" cy="28575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Cancel Edit</a:t>
                </a:r>
              </a:p>
            </xdr:txBody>
          </xdr:sp>
          <xdr:sp macro="" textlink="">
            <xdr:nvSpPr>
              <xdr:cNvPr id="1096" name="Button 72" hidden="1">
                <a:extLst>
                  <a:ext uri="{63B3BB69-23CF-44E3-9099-C40C66FF867C}">
                    <a14:compatExt spid="_x0000_s1096"/>
                  </a:ext>
                  <a:ext uri="{FF2B5EF4-FFF2-40B4-BE49-F238E27FC236}">
                    <a16:creationId xmlns:a16="http://schemas.microsoft.com/office/drawing/2014/main" id="{00000000-0008-0000-0200-000048040000}"/>
                  </a:ext>
                </a:extLst>
              </xdr:cNvPr>
              <xdr:cNvSpPr/>
            </xdr:nvSpPr>
            <xdr:spPr bwMode="auto">
              <a:xfrm>
                <a:off x="9693088" y="2185149"/>
                <a:ext cx="937933" cy="28631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Print</a:t>
                </a:r>
              </a:p>
            </xdr:txBody>
          </xdr:sp>
          <xdr:sp macro="" textlink="">
            <xdr:nvSpPr>
              <xdr:cNvPr id="1097" name="Button 73" hidden="1">
                <a:extLst>
                  <a:ext uri="{63B3BB69-23CF-44E3-9099-C40C66FF867C}">
                    <a14:compatExt spid="_x0000_s1097"/>
                  </a:ext>
                  <a:ext uri="{FF2B5EF4-FFF2-40B4-BE49-F238E27FC236}">
                    <a16:creationId xmlns:a16="http://schemas.microsoft.com/office/drawing/2014/main" id="{00000000-0008-0000-0200-000049040000}"/>
                  </a:ext>
                </a:extLst>
              </xdr:cNvPr>
              <xdr:cNvSpPr/>
            </xdr:nvSpPr>
            <xdr:spPr bwMode="auto">
              <a:xfrm>
                <a:off x="9693088" y="2655794"/>
                <a:ext cx="937933" cy="289112"/>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Send</a:t>
                </a:r>
              </a:p>
            </xdr:txBody>
          </xdr:sp>
          <xdr:sp macro="" textlink="">
            <xdr:nvSpPr>
              <xdr:cNvPr id="1098" name="Button 74" hidden="1">
                <a:extLst>
                  <a:ext uri="{63B3BB69-23CF-44E3-9099-C40C66FF867C}">
                    <a14:compatExt spid="_x0000_s1098"/>
                  </a:ext>
                  <a:ext uri="{FF2B5EF4-FFF2-40B4-BE49-F238E27FC236}">
                    <a16:creationId xmlns:a16="http://schemas.microsoft.com/office/drawing/2014/main" id="{00000000-0008-0000-0200-00004A040000}"/>
                  </a:ext>
                </a:extLst>
              </xdr:cNvPr>
              <xdr:cNvSpPr/>
            </xdr:nvSpPr>
            <xdr:spPr bwMode="auto">
              <a:xfrm>
                <a:off x="10780059" y="986118"/>
                <a:ext cx="933450" cy="287431"/>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Next</a:t>
                </a:r>
              </a:p>
            </xdr:txBody>
          </xdr:sp>
          <xdr:sp macro="" textlink="">
            <xdr:nvSpPr>
              <xdr:cNvPr id="1099" name="Button 75" hidden="1">
                <a:extLst>
                  <a:ext uri="{63B3BB69-23CF-44E3-9099-C40C66FF867C}">
                    <a14:compatExt spid="_x0000_s1099"/>
                  </a:ext>
                  <a:ext uri="{FF2B5EF4-FFF2-40B4-BE49-F238E27FC236}">
                    <a16:creationId xmlns:a16="http://schemas.microsoft.com/office/drawing/2014/main" id="{00000000-0008-0000-0200-00004B040000}"/>
                  </a:ext>
                </a:extLst>
              </xdr:cNvPr>
              <xdr:cNvSpPr/>
            </xdr:nvSpPr>
            <xdr:spPr bwMode="auto">
              <a:xfrm>
                <a:off x="10780059" y="1389529"/>
                <a:ext cx="933450" cy="289112"/>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Previous</a:t>
                </a:r>
              </a:p>
            </xdr:txBody>
          </xdr:sp>
          <xdr:sp macro="" textlink="">
            <xdr:nvSpPr>
              <xdr:cNvPr id="1100" name="Button 76" hidden="1">
                <a:extLst>
                  <a:ext uri="{63B3BB69-23CF-44E3-9099-C40C66FF867C}">
                    <a14:compatExt spid="_x0000_s1100"/>
                  </a:ext>
                  <a:ext uri="{FF2B5EF4-FFF2-40B4-BE49-F238E27FC236}">
                    <a16:creationId xmlns:a16="http://schemas.microsoft.com/office/drawing/2014/main" id="{00000000-0008-0000-0200-00004C040000}"/>
                  </a:ext>
                </a:extLst>
              </xdr:cNvPr>
              <xdr:cNvSpPr/>
            </xdr:nvSpPr>
            <xdr:spPr bwMode="auto">
              <a:xfrm>
                <a:off x="10780059" y="1804146"/>
                <a:ext cx="933450" cy="683558"/>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What Cells</a:t>
                </a:r>
              </a:p>
              <a:p>
                <a:pPr algn="ctr" rtl="0">
                  <a:defRPr sz="1000"/>
                </a:pPr>
                <a:r>
                  <a:rPr lang="en-US" sz="1100" b="1" i="0" u="none" strike="noStrike" baseline="0">
                    <a:solidFill>
                      <a:srgbClr val="000000"/>
                    </a:solidFill>
                    <a:latin typeface="Calibri"/>
                    <a:ea typeface="Calibri"/>
                    <a:cs typeface="Calibri"/>
                  </a:rPr>
                  <a:t>were</a:t>
                </a:r>
              </a:p>
              <a:p>
                <a:pPr algn="ctr" rtl="0">
                  <a:defRPr sz="1000"/>
                </a:pPr>
                <a:r>
                  <a:rPr lang="en-US" sz="1100" b="1" i="0" u="none" strike="noStrike" baseline="0">
                    <a:solidFill>
                      <a:srgbClr val="000000"/>
                    </a:solidFill>
                    <a:latin typeface="Calibri"/>
                    <a:ea typeface="Calibri"/>
                    <a:cs typeface="Calibri"/>
                  </a:rPr>
                  <a:t>Changed?</a:t>
                </a:r>
              </a:p>
            </xdr:txBody>
          </xdr:sp>
          <xdr:sp macro="" textlink="">
            <xdr:nvSpPr>
              <xdr:cNvPr id="1101" name="Button 77" hidden="1">
                <a:extLst>
                  <a:ext uri="{63B3BB69-23CF-44E3-9099-C40C66FF867C}">
                    <a14:compatExt spid="_x0000_s1101"/>
                  </a:ext>
                  <a:ext uri="{FF2B5EF4-FFF2-40B4-BE49-F238E27FC236}">
                    <a16:creationId xmlns:a16="http://schemas.microsoft.com/office/drawing/2014/main" id="{00000000-0008-0000-0200-00004D040000}"/>
                  </a:ext>
                </a:extLst>
              </xdr:cNvPr>
              <xdr:cNvSpPr/>
            </xdr:nvSpPr>
            <xdr:spPr bwMode="auto">
              <a:xfrm>
                <a:off x="10780059" y="2655794"/>
                <a:ext cx="933450" cy="289112"/>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Spell Check</a:t>
                </a:r>
              </a:p>
            </xdr:txBody>
          </xdr:sp>
          <xdr:sp macro="" textlink="">
            <xdr:nvSpPr>
              <xdr:cNvPr id="1102" name="Button 78" hidden="1">
                <a:extLst>
                  <a:ext uri="{63B3BB69-23CF-44E3-9099-C40C66FF867C}">
                    <a14:compatExt spid="_x0000_s1102"/>
                  </a:ext>
                  <a:ext uri="{FF2B5EF4-FFF2-40B4-BE49-F238E27FC236}">
                    <a16:creationId xmlns:a16="http://schemas.microsoft.com/office/drawing/2014/main" id="{00000000-0008-0000-0200-00004E040000}"/>
                  </a:ext>
                </a:extLst>
              </xdr:cNvPr>
              <xdr:cNvSpPr/>
            </xdr:nvSpPr>
            <xdr:spPr bwMode="auto">
              <a:xfrm>
                <a:off x="9693089" y="3081616"/>
                <a:ext cx="2028265" cy="437029"/>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Set Range for Manual Print</a:t>
                </a:r>
              </a:p>
              <a:p>
                <a:pPr algn="ctr" rtl="0">
                  <a:defRPr sz="1000"/>
                </a:pPr>
                <a:r>
                  <a:rPr lang="en-US" sz="1100" b="1" i="0" u="none" strike="noStrike" baseline="0">
                    <a:solidFill>
                      <a:srgbClr val="000000"/>
                    </a:solidFill>
                    <a:latin typeface="Calibri"/>
                    <a:ea typeface="Calibri"/>
                    <a:cs typeface="Calibri"/>
                  </a:rPr>
                  <a:t>(See cells A92:G95)</a:t>
                </a:r>
              </a:p>
            </xdr:txBody>
          </xdr:sp>
        </xdr:grp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5</xdr:col>
          <xdr:colOff>171450</xdr:colOff>
          <xdr:row>1</xdr:row>
          <xdr:rowOff>152400</xdr:rowOff>
        </xdr:from>
        <xdr:to>
          <xdr:col>6</xdr:col>
          <xdr:colOff>600075</xdr:colOff>
          <xdr:row>3</xdr:row>
          <xdr:rowOff>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3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Print Current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171450</xdr:colOff>
          <xdr:row>3</xdr:row>
          <xdr:rowOff>76200</xdr:rowOff>
        </xdr:from>
        <xdr:to>
          <xdr:col>6</xdr:col>
          <xdr:colOff>600075</xdr:colOff>
          <xdr:row>9</xdr:row>
          <xdr:rowOff>66675</xdr:rowOff>
        </xdr:to>
        <xdr:sp macro="" textlink="">
          <xdr:nvSpPr>
            <xdr:cNvPr id="6146" name="Button 2" hidden="1">
              <a:extLst>
                <a:ext uri="{63B3BB69-23CF-44E3-9099-C40C66FF867C}">
                  <a14:compatExt spid="_x0000_s6146"/>
                </a:ext>
                <a:ext uri="{FF2B5EF4-FFF2-40B4-BE49-F238E27FC236}">
                  <a16:creationId xmlns:a16="http://schemas.microsoft.com/office/drawing/2014/main" id="{00000000-0008-0000-0300-000002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Print Selected Projects</a:t>
              </a:r>
            </a:p>
            <a:p>
              <a:pPr algn="ctr" rtl="0">
                <a:defRPr sz="1000"/>
              </a:pPr>
              <a:r>
                <a:rPr lang="en-US" sz="1100" b="1" i="0" u="none" strike="noStrike" baseline="0">
                  <a:solidFill>
                    <a:srgbClr val="000000"/>
                  </a:solidFill>
                  <a:latin typeface="Calibri"/>
                  <a:ea typeface="Calibri"/>
                  <a:cs typeface="Calibri"/>
                </a:rPr>
                <a:t> on All Projects Sheet</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6.xml"/><Relationship Id="rId13" Type="http://schemas.openxmlformats.org/officeDocument/2006/relationships/ctrlProp" Target="../ctrlProps/ctrlProp11.xml"/><Relationship Id="rId3" Type="http://schemas.openxmlformats.org/officeDocument/2006/relationships/vmlDrawing" Target="../drawings/vmlDrawing2.vml"/><Relationship Id="rId7" Type="http://schemas.openxmlformats.org/officeDocument/2006/relationships/ctrlProp" Target="../ctrlProps/ctrlProp5.xml"/><Relationship Id="rId12" Type="http://schemas.openxmlformats.org/officeDocument/2006/relationships/ctrlProp" Target="../ctrlProps/ctrlProp10.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 Id="rId1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2:G59"/>
  <sheetViews>
    <sheetView showGridLines="0" topLeftCell="A16" workbookViewId="0">
      <selection activeCell="B7" sqref="B7"/>
    </sheetView>
  </sheetViews>
  <sheetFormatPr defaultRowHeight="15" x14ac:dyDescent="0.25"/>
  <cols>
    <col min="2" max="2" width="50.5703125" customWidth="1"/>
    <col min="5" max="5" width="14.28515625" customWidth="1"/>
    <col min="6" max="7" width="42.85546875" hidden="1" customWidth="1"/>
    <col min="8" max="8" width="9.140625" customWidth="1"/>
  </cols>
  <sheetData>
    <row r="2" spans="1:7" ht="18.75" x14ac:dyDescent="0.3">
      <c r="A2" s="22" t="s">
        <v>161</v>
      </c>
    </row>
    <row r="3" spans="1:7" ht="18.75" x14ac:dyDescent="0.3">
      <c r="A3" s="22"/>
    </row>
    <row r="4" spans="1:7" ht="48" customHeight="1" thickBot="1" x14ac:dyDescent="0.3">
      <c r="A4" s="115" t="s">
        <v>294</v>
      </c>
      <c r="B4" s="115"/>
      <c r="C4" s="115"/>
      <c r="D4" s="115"/>
      <c r="E4" s="115"/>
    </row>
    <row r="5" spans="1:7" ht="15.75" thickBot="1" x14ac:dyDescent="0.3">
      <c r="F5" s="17" t="s">
        <v>163</v>
      </c>
      <c r="G5" s="18" t="s">
        <v>155</v>
      </c>
    </row>
    <row r="6" spans="1:7" ht="15.75" thickBot="1" x14ac:dyDescent="0.3">
      <c r="B6" s="8" t="s">
        <v>162</v>
      </c>
      <c r="F6" s="17" t="s">
        <v>126</v>
      </c>
      <c r="G6" s="16"/>
    </row>
    <row r="7" spans="1:7" ht="15.75" thickBot="1" x14ac:dyDescent="0.3">
      <c r="B7" s="27" t="s">
        <v>126</v>
      </c>
      <c r="F7" s="44" t="s">
        <v>313</v>
      </c>
      <c r="G7" s="45" t="s">
        <v>314</v>
      </c>
    </row>
    <row r="8" spans="1:7" x14ac:dyDescent="0.25">
      <c r="F8" s="46" t="s">
        <v>433</v>
      </c>
      <c r="G8" s="47" t="s">
        <v>434</v>
      </c>
    </row>
    <row r="9" spans="1:7" x14ac:dyDescent="0.25">
      <c r="F9" s="19" t="s">
        <v>36</v>
      </c>
      <c r="G9" s="15" t="s">
        <v>37</v>
      </c>
    </row>
    <row r="10" spans="1:7" x14ac:dyDescent="0.25">
      <c r="F10" s="20" t="s">
        <v>77</v>
      </c>
      <c r="G10" s="13" t="s">
        <v>138</v>
      </c>
    </row>
    <row r="11" spans="1:7" x14ac:dyDescent="0.25">
      <c r="C11" s="11"/>
      <c r="F11" s="20" t="s">
        <v>167</v>
      </c>
      <c r="G11" s="13" t="s">
        <v>170</v>
      </c>
    </row>
    <row r="12" spans="1:7" ht="15.75" thickBot="1" x14ac:dyDescent="0.3">
      <c r="F12" s="20" t="s">
        <v>168</v>
      </c>
      <c r="G12" s="13" t="s">
        <v>169</v>
      </c>
    </row>
    <row r="13" spans="1:7" x14ac:dyDescent="0.25">
      <c r="B13" s="8" t="s">
        <v>132</v>
      </c>
      <c r="F13" s="20" t="s">
        <v>537</v>
      </c>
      <c r="G13" s="13" t="s">
        <v>538</v>
      </c>
    </row>
    <row r="14" spans="1:7" ht="15.75" thickBot="1" x14ac:dyDescent="0.3">
      <c r="B14" s="24"/>
      <c r="F14" s="20" t="s">
        <v>106</v>
      </c>
      <c r="G14" s="13" t="s">
        <v>107</v>
      </c>
    </row>
    <row r="15" spans="1:7" ht="15.75" thickBot="1" x14ac:dyDescent="0.3">
      <c r="F15" s="20" t="s">
        <v>64</v>
      </c>
      <c r="G15" s="13" t="s">
        <v>141</v>
      </c>
    </row>
    <row r="16" spans="1:7" x14ac:dyDescent="0.25">
      <c r="B16" s="8" t="s">
        <v>130</v>
      </c>
      <c r="F16" s="20" t="s">
        <v>87</v>
      </c>
      <c r="G16" s="13" t="s">
        <v>176</v>
      </c>
    </row>
    <row r="17" spans="2:7" ht="15.75" thickBot="1" x14ac:dyDescent="0.3">
      <c r="B17" s="12"/>
      <c r="F17" s="20" t="s">
        <v>84</v>
      </c>
      <c r="G17" s="13" t="s">
        <v>120</v>
      </c>
    </row>
    <row r="18" spans="2:7" x14ac:dyDescent="0.25">
      <c r="F18" s="20" t="s">
        <v>114</v>
      </c>
      <c r="G18" s="13" t="s">
        <v>118</v>
      </c>
    </row>
    <row r="19" spans="2:7" ht="15.75" thickBot="1" x14ac:dyDescent="0.3">
      <c r="F19" s="42" t="s">
        <v>431</v>
      </c>
      <c r="G19" s="43" t="s">
        <v>432</v>
      </c>
    </row>
    <row r="20" spans="2:7" ht="15.75" customHeight="1" x14ac:dyDescent="0.25">
      <c r="B20" s="8" t="s">
        <v>131</v>
      </c>
      <c r="C20" s="113" t="str">
        <f>IF(LastSaved="","",IF(OR(TimeLastSent="",LastSaved&gt;TimeLastSent),"Changes Not Sent to Energy Strategies","All changes sent to Energy Strategies"))</f>
        <v/>
      </c>
      <c r="D20" s="114"/>
      <c r="F20" s="20" t="s">
        <v>45</v>
      </c>
      <c r="G20" s="13" t="s">
        <v>140</v>
      </c>
    </row>
    <row r="21" spans="2:7" ht="15.75" thickBot="1" x14ac:dyDescent="0.3">
      <c r="B21" s="12"/>
      <c r="C21" s="113"/>
      <c r="D21" s="114"/>
      <c r="F21" s="20" t="s">
        <v>181</v>
      </c>
      <c r="G21" s="13" t="s">
        <v>182</v>
      </c>
    </row>
    <row r="22" spans="2:7" x14ac:dyDescent="0.25">
      <c r="F22" s="20" t="s">
        <v>723</v>
      </c>
      <c r="G22" s="13" t="s">
        <v>724</v>
      </c>
    </row>
    <row r="23" spans="2:7" x14ac:dyDescent="0.25">
      <c r="F23" s="20" t="s">
        <v>39</v>
      </c>
      <c r="G23" s="13" t="s">
        <v>108</v>
      </c>
    </row>
    <row r="24" spans="2:7" ht="15.75" thickBot="1" x14ac:dyDescent="0.3">
      <c r="F24" s="20" t="s">
        <v>83</v>
      </c>
      <c r="G24" s="13" t="s">
        <v>119</v>
      </c>
    </row>
    <row r="25" spans="2:7" x14ac:dyDescent="0.25">
      <c r="B25" s="8" t="s">
        <v>149</v>
      </c>
      <c r="F25" s="20" t="s">
        <v>292</v>
      </c>
      <c r="G25" s="13" t="s">
        <v>293</v>
      </c>
    </row>
    <row r="26" spans="2:7" ht="15.75" thickBot="1" x14ac:dyDescent="0.3">
      <c r="B26" s="24"/>
      <c r="C26" t="e">
        <f>INDEX(G:G,MATCH(SelectedSponsor,F:F,0),1)</f>
        <v>#N/A</v>
      </c>
      <c r="F26" s="20" t="s">
        <v>179</v>
      </c>
      <c r="G26" s="13" t="s">
        <v>180</v>
      </c>
    </row>
    <row r="27" spans="2:7" ht="15.75" thickBot="1" x14ac:dyDescent="0.3">
      <c r="F27" s="20" t="s">
        <v>117</v>
      </c>
      <c r="G27" s="13" t="s">
        <v>158</v>
      </c>
    </row>
    <row r="28" spans="2:7" x14ac:dyDescent="0.25">
      <c r="B28" s="8" t="s">
        <v>276</v>
      </c>
      <c r="F28" s="20" t="s">
        <v>53</v>
      </c>
      <c r="G28" s="13" t="s">
        <v>109</v>
      </c>
    </row>
    <row r="29" spans="2:7" ht="15.75" thickBot="1" x14ac:dyDescent="0.3">
      <c r="B29" s="12">
        <v>46078.395833333336</v>
      </c>
      <c r="F29" s="20" t="s">
        <v>315</v>
      </c>
      <c r="G29" s="13" t="s">
        <v>316</v>
      </c>
    </row>
    <row r="30" spans="2:7" ht="15.75" thickBot="1" x14ac:dyDescent="0.3">
      <c r="F30" s="20" t="s">
        <v>199</v>
      </c>
      <c r="G30" s="13" t="s">
        <v>200</v>
      </c>
    </row>
    <row r="31" spans="2:7" x14ac:dyDescent="0.25">
      <c r="B31" s="8" t="s">
        <v>275</v>
      </c>
      <c r="F31" s="20" t="s">
        <v>193</v>
      </c>
      <c r="G31" s="13" t="s">
        <v>194</v>
      </c>
    </row>
    <row r="32" spans="2:7" ht="15.75" thickBot="1" x14ac:dyDescent="0.3">
      <c r="B32" s="28" t="str">
        <f>HYPERLINK("mailto:bwalborn@energystrat.com","Ben Walborn")</f>
        <v>Ben Walborn</v>
      </c>
      <c r="F32" s="20" t="s">
        <v>177</v>
      </c>
      <c r="G32" s="13" t="s">
        <v>178</v>
      </c>
    </row>
    <row r="33" spans="2:7" ht="15.75" thickBot="1" x14ac:dyDescent="0.3">
      <c r="F33" s="20" t="s">
        <v>725</v>
      </c>
      <c r="G33" s="13" t="s">
        <v>726</v>
      </c>
    </row>
    <row r="34" spans="2:7" x14ac:dyDescent="0.25">
      <c r="B34" s="8" t="s">
        <v>154</v>
      </c>
      <c r="C34" t="s">
        <v>104</v>
      </c>
      <c r="F34" s="20" t="s">
        <v>57</v>
      </c>
      <c r="G34" s="13" t="s">
        <v>159</v>
      </c>
    </row>
    <row r="35" spans="2:7" ht="15.75" thickBot="1" x14ac:dyDescent="0.3">
      <c r="B35" s="27" t="s">
        <v>622</v>
      </c>
      <c r="F35" s="20" t="s">
        <v>76</v>
      </c>
      <c r="G35" s="13" t="s">
        <v>145</v>
      </c>
    </row>
    <row r="36" spans="2:7" x14ac:dyDescent="0.25">
      <c r="B36" s="26"/>
      <c r="F36" s="20" t="s">
        <v>65</v>
      </c>
      <c r="G36" s="13" t="s">
        <v>110</v>
      </c>
    </row>
    <row r="37" spans="2:7" x14ac:dyDescent="0.25">
      <c r="F37" s="20" t="s">
        <v>61</v>
      </c>
      <c r="G37" s="13" t="s">
        <v>28</v>
      </c>
    </row>
    <row r="38" spans="2:7" x14ac:dyDescent="0.25">
      <c r="F38" s="20" t="s">
        <v>115</v>
      </c>
      <c r="G38" s="13" t="s">
        <v>139</v>
      </c>
    </row>
    <row r="39" spans="2:7" x14ac:dyDescent="0.25">
      <c r="B39" s="9"/>
      <c r="F39" s="20" t="s">
        <v>38</v>
      </c>
      <c r="G39" s="13" t="s">
        <v>41</v>
      </c>
    </row>
    <row r="40" spans="2:7" x14ac:dyDescent="0.25">
      <c r="B40" s="9"/>
      <c r="F40" s="20" t="s">
        <v>78</v>
      </c>
      <c r="G40" s="13" t="s">
        <v>146</v>
      </c>
    </row>
    <row r="41" spans="2:7" x14ac:dyDescent="0.25">
      <c r="B41" s="9"/>
      <c r="F41" s="20" t="s">
        <v>62</v>
      </c>
      <c r="G41" s="13" t="s">
        <v>142</v>
      </c>
    </row>
    <row r="42" spans="2:7" x14ac:dyDescent="0.25">
      <c r="F42" s="20" t="s">
        <v>85</v>
      </c>
      <c r="G42" s="13" t="s">
        <v>160</v>
      </c>
    </row>
    <row r="43" spans="2:7" x14ac:dyDescent="0.25">
      <c r="F43" s="20" t="s">
        <v>286</v>
      </c>
      <c r="G43" s="13" t="s">
        <v>287</v>
      </c>
    </row>
    <row r="44" spans="2:7" x14ac:dyDescent="0.25">
      <c r="F44" s="20" t="s">
        <v>284</v>
      </c>
      <c r="G44" s="13" t="s">
        <v>285</v>
      </c>
    </row>
    <row r="45" spans="2:7" x14ac:dyDescent="0.25">
      <c r="F45" s="20" t="s">
        <v>183</v>
      </c>
      <c r="G45" s="13" t="s">
        <v>184</v>
      </c>
    </row>
    <row r="46" spans="2:7" x14ac:dyDescent="0.25">
      <c r="F46" s="20" t="s">
        <v>290</v>
      </c>
      <c r="G46" s="13" t="s">
        <v>291</v>
      </c>
    </row>
    <row r="47" spans="2:7" x14ac:dyDescent="0.25">
      <c r="F47" s="20" t="s">
        <v>111</v>
      </c>
      <c r="G47" s="13" t="s">
        <v>112</v>
      </c>
    </row>
    <row r="48" spans="2:7" x14ac:dyDescent="0.25">
      <c r="F48" s="20" t="s">
        <v>435</v>
      </c>
      <c r="G48" s="13" t="s">
        <v>436</v>
      </c>
    </row>
    <row r="49" spans="6:7" x14ac:dyDescent="0.25">
      <c r="F49" s="20" t="s">
        <v>116</v>
      </c>
      <c r="G49" s="13" t="s">
        <v>144</v>
      </c>
    </row>
    <row r="50" spans="6:7" x14ac:dyDescent="0.25">
      <c r="F50" s="20" t="s">
        <v>113</v>
      </c>
      <c r="G50" s="13" t="s">
        <v>26</v>
      </c>
    </row>
    <row r="51" spans="6:7" x14ac:dyDescent="0.25">
      <c r="F51" s="20" t="s">
        <v>46</v>
      </c>
      <c r="G51" s="13" t="s">
        <v>143</v>
      </c>
    </row>
    <row r="52" spans="6:7" x14ac:dyDescent="0.25">
      <c r="F52" s="20" t="s">
        <v>89</v>
      </c>
      <c r="G52" s="13" t="s">
        <v>148</v>
      </c>
    </row>
    <row r="53" spans="6:7" x14ac:dyDescent="0.25">
      <c r="F53" s="20" t="s">
        <v>63</v>
      </c>
      <c r="G53" s="13" t="s">
        <v>134</v>
      </c>
    </row>
    <row r="54" spans="6:7" x14ac:dyDescent="0.25">
      <c r="F54" s="20" t="s">
        <v>166</v>
      </c>
      <c r="G54" s="13" t="s">
        <v>15</v>
      </c>
    </row>
    <row r="55" spans="6:7" x14ac:dyDescent="0.25">
      <c r="F55" s="20" t="s">
        <v>29</v>
      </c>
      <c r="G55" s="13" t="s">
        <v>135</v>
      </c>
    </row>
    <row r="56" spans="6:7" x14ac:dyDescent="0.25">
      <c r="F56" s="29" t="s">
        <v>60</v>
      </c>
      <c r="G56" s="30" t="s">
        <v>136</v>
      </c>
    </row>
    <row r="57" spans="6:7" x14ac:dyDescent="0.25">
      <c r="F57" s="29" t="s">
        <v>68</v>
      </c>
      <c r="G57" s="30" t="s">
        <v>137</v>
      </c>
    </row>
    <row r="58" spans="6:7" x14ac:dyDescent="0.25">
      <c r="F58" s="29" t="s">
        <v>82</v>
      </c>
      <c r="G58" s="30" t="s">
        <v>147</v>
      </c>
    </row>
    <row r="59" spans="6:7" ht="15.75" thickBot="1" x14ac:dyDescent="0.3">
      <c r="F59" s="21" t="s">
        <v>311</v>
      </c>
      <c r="G59" s="14" t="s">
        <v>312</v>
      </c>
    </row>
  </sheetData>
  <sheetProtection algorithmName="SHA-512" hashValue="/Urp88kEte9BVSANLecd9zWA1MNPUMKH6Av2sOsNTdUFMY7yRbgf51SRNPsQxQS6T+ke0uCFNezMc5/dU2yqTQ==" saltValue="zMkU/K9ODh3uJAIoYba4NQ==" spinCount="100000" sheet="1" objects="1" scenarios="1"/>
  <sortState xmlns:xlrd2="http://schemas.microsoft.com/office/spreadsheetml/2017/richdata2" ref="F7:G55">
    <sortCondition ref="F7:F55"/>
  </sortState>
  <mergeCells count="2">
    <mergeCell ref="C20:D21"/>
    <mergeCell ref="A4:E4"/>
  </mergeCells>
  <phoneticPr fontId="6" type="noConversion"/>
  <dataValidations xWindow="308" yWindow="295" count="2">
    <dataValidation type="list" allowBlank="1" showInputMessage="1" showErrorMessage="1" sqref="B35:B36" xr:uid="{00000000-0002-0000-0000-000000000000}">
      <formula1>"Save,Save and Email"</formula1>
    </dataValidation>
    <dataValidation type="list" showErrorMessage="1" promptTitle="Select Project Sponsor" prompt="Select the project developer entity whom you represent." sqref="B7" xr:uid="{00000000-0002-0000-0000-000001000000}">
      <formula1>$F$6:$F$59</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MainCode.SponsorSelectedContinue">
                <anchor>
                  <from>
                    <xdr:col>1</xdr:col>
                    <xdr:colOff>9525</xdr:colOff>
                    <xdr:row>8</xdr:row>
                    <xdr:rowOff>0</xdr:rowOff>
                  </from>
                  <to>
                    <xdr:col>1</xdr:col>
                    <xdr:colOff>2133600</xdr:colOff>
                    <xdr:row>10</xdr:row>
                    <xdr:rowOff>171450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Y390"/>
  <sheetViews>
    <sheetView tabSelected="1" zoomScale="90" zoomScaleNormal="90" workbookViewId="0">
      <pane xSplit="3" ySplit="1" topLeftCell="D200" activePane="bottomRight" state="frozen"/>
      <selection pane="topRight" activeCell="D1" sqref="D1"/>
      <selection pane="bottomLeft" activeCell="A2" sqref="A2"/>
      <selection pane="bottomRight" activeCell="C285" sqref="C285"/>
    </sheetView>
  </sheetViews>
  <sheetFormatPr defaultColWidth="9.140625" defaultRowHeight="15" x14ac:dyDescent="0.25"/>
  <cols>
    <col min="1" max="1" width="9.85546875" customWidth="1"/>
    <col min="2" max="2" width="50.7109375" customWidth="1"/>
    <col min="3" max="3" width="45" customWidth="1"/>
    <col min="4" max="4" width="49.28515625" customWidth="1"/>
    <col min="5" max="6" width="22.7109375" customWidth="1"/>
    <col min="7" max="7" width="23.28515625" customWidth="1"/>
    <col min="8" max="8" width="17" customWidth="1"/>
    <col min="9" max="9" width="17.7109375" bestFit="1" customWidth="1"/>
    <col min="10" max="10" width="12.85546875" customWidth="1"/>
    <col min="11" max="11" width="14.140625" customWidth="1"/>
    <col min="12" max="12" width="17.7109375" customWidth="1"/>
    <col min="13" max="13" width="18.28515625" customWidth="1"/>
    <col min="14" max="14" width="11.140625" customWidth="1"/>
    <col min="15" max="17" width="19" customWidth="1"/>
    <col min="18" max="40" width="11.85546875" customWidth="1"/>
    <col min="41" max="41" width="18.140625" bestFit="1" customWidth="1"/>
    <col min="42" max="42" width="15" customWidth="1"/>
    <col min="43" max="43" width="14" customWidth="1"/>
    <col min="44" max="44" width="21" bestFit="1" customWidth="1"/>
    <col min="45" max="45" width="27.140625" customWidth="1"/>
    <col min="46" max="46" width="11.140625" customWidth="1"/>
    <col min="47" max="47" width="10.42578125" customWidth="1"/>
    <col min="48" max="48" width="11.140625" bestFit="1" customWidth="1"/>
    <col min="49" max="49" width="9" bestFit="1" customWidth="1"/>
    <col min="50" max="50" width="9.28515625" customWidth="1"/>
    <col min="51" max="51" width="9.140625" customWidth="1"/>
  </cols>
  <sheetData>
    <row r="1" spans="1:51" ht="55.5" customHeight="1" x14ac:dyDescent="0.25">
      <c r="A1" s="48" t="s">
        <v>12</v>
      </c>
      <c r="B1" s="48" t="s">
        <v>127</v>
      </c>
      <c r="C1" s="48" t="s">
        <v>9</v>
      </c>
      <c r="D1" s="48" t="s">
        <v>0</v>
      </c>
      <c r="E1" s="48" t="s">
        <v>6</v>
      </c>
      <c r="F1" s="48" t="s">
        <v>457</v>
      </c>
      <c r="G1" s="48" t="s">
        <v>462</v>
      </c>
      <c r="H1" s="48" t="s">
        <v>461</v>
      </c>
      <c r="I1" s="48" t="s">
        <v>254</v>
      </c>
      <c r="J1" s="48" t="s">
        <v>1</v>
      </c>
      <c r="K1" s="48" t="s">
        <v>5</v>
      </c>
      <c r="L1" s="48" t="s">
        <v>3</v>
      </c>
      <c r="M1" s="48" t="s">
        <v>4</v>
      </c>
      <c r="N1" s="48" t="s">
        <v>8</v>
      </c>
      <c r="O1" s="48" t="s">
        <v>125</v>
      </c>
      <c r="P1" s="48" t="s">
        <v>691</v>
      </c>
      <c r="Q1" s="48" t="s">
        <v>693</v>
      </c>
      <c r="R1" s="48" t="s">
        <v>507</v>
      </c>
      <c r="S1" s="48" t="s">
        <v>103</v>
      </c>
      <c r="T1" s="35" t="s">
        <v>226</v>
      </c>
      <c r="U1" s="35" t="s">
        <v>227</v>
      </c>
      <c r="V1" s="35" t="s">
        <v>228</v>
      </c>
      <c r="W1" s="35" t="s">
        <v>229</v>
      </c>
      <c r="X1" s="35" t="s">
        <v>230</v>
      </c>
      <c r="Y1" s="35" t="s">
        <v>469</v>
      </c>
      <c r="Z1" s="35" t="s">
        <v>470</v>
      </c>
      <c r="AA1" s="35" t="s">
        <v>257</v>
      </c>
      <c r="AB1" s="35" t="s">
        <v>256</v>
      </c>
      <c r="AC1" s="35" t="s">
        <v>481</v>
      </c>
      <c r="AD1" s="35" t="s">
        <v>480</v>
      </c>
      <c r="AE1" s="35" t="s">
        <v>482</v>
      </c>
      <c r="AF1" s="35" t="s">
        <v>483</v>
      </c>
      <c r="AG1" s="35" t="s">
        <v>495</v>
      </c>
      <c r="AH1" s="35" t="s">
        <v>499</v>
      </c>
      <c r="AI1" s="35" t="s">
        <v>500</v>
      </c>
      <c r="AJ1" s="35" t="s">
        <v>501</v>
      </c>
      <c r="AK1" s="35" t="s">
        <v>502</v>
      </c>
      <c r="AL1" s="35" t="s">
        <v>503</v>
      </c>
      <c r="AM1" s="35" t="s">
        <v>504</v>
      </c>
      <c r="AN1" s="35" t="s">
        <v>479</v>
      </c>
      <c r="AO1" s="23" t="s">
        <v>13</v>
      </c>
      <c r="AP1" t="s">
        <v>128</v>
      </c>
      <c r="AQ1" t="s">
        <v>288</v>
      </c>
      <c r="AR1" t="s">
        <v>129</v>
      </c>
      <c r="AV1" t="s">
        <v>175</v>
      </c>
      <c r="AW1" s="36" t="s">
        <v>12</v>
      </c>
      <c r="AX1" s="37"/>
      <c r="AY1" s="38"/>
    </row>
    <row r="2" spans="1:51" x14ac:dyDescent="0.25">
      <c r="A2">
        <v>5</v>
      </c>
      <c r="B2" t="s">
        <v>166</v>
      </c>
      <c r="C2" t="s">
        <v>938</v>
      </c>
      <c r="D2" t="s">
        <v>1111</v>
      </c>
      <c r="E2" t="s">
        <v>75</v>
      </c>
      <c r="F2" t="s">
        <v>75</v>
      </c>
      <c r="G2" t="s">
        <v>24</v>
      </c>
      <c r="H2" t="s">
        <v>21</v>
      </c>
      <c r="I2" t="s">
        <v>19</v>
      </c>
      <c r="J2" t="s">
        <v>14</v>
      </c>
      <c r="K2" t="s">
        <v>18</v>
      </c>
      <c r="L2" t="s">
        <v>1112</v>
      </c>
      <c r="M2" t="s">
        <v>1113</v>
      </c>
      <c r="N2">
        <v>2028</v>
      </c>
      <c r="O2" t="s">
        <v>133</v>
      </c>
      <c r="P2" t="s">
        <v>729</v>
      </c>
      <c r="Q2" t="s">
        <v>727</v>
      </c>
      <c r="R2" t="s">
        <v>17</v>
      </c>
      <c r="S2" t="str">
        <f t="shared" ref="S2:S19" si="0">N2&amp;"-"&amp;A2</f>
        <v>2028-5</v>
      </c>
      <c r="AO2" s="40"/>
      <c r="AP2" s="39"/>
      <c r="AQ2" s="41">
        <v>46062</v>
      </c>
      <c r="AR2" s="40"/>
    </row>
    <row r="3" spans="1:51" x14ac:dyDescent="0.25">
      <c r="A3">
        <v>17</v>
      </c>
      <c r="B3" t="s">
        <v>61</v>
      </c>
      <c r="C3" t="s">
        <v>172</v>
      </c>
      <c r="D3" t="s">
        <v>201</v>
      </c>
      <c r="E3" t="s">
        <v>202</v>
      </c>
      <c r="F3" t="s">
        <v>153</v>
      </c>
      <c r="G3" t="s">
        <v>24</v>
      </c>
      <c r="H3" t="s">
        <v>21</v>
      </c>
      <c r="I3" t="s">
        <v>19</v>
      </c>
      <c r="J3" t="s">
        <v>20</v>
      </c>
      <c r="K3" t="s">
        <v>33</v>
      </c>
      <c r="L3" t="s">
        <v>171</v>
      </c>
      <c r="M3" t="s">
        <v>21</v>
      </c>
      <c r="N3" t="s">
        <v>22</v>
      </c>
      <c r="O3" t="s">
        <v>133</v>
      </c>
      <c r="P3" t="s">
        <v>729</v>
      </c>
      <c r="Q3" t="s">
        <v>731</v>
      </c>
      <c r="R3" t="s">
        <v>17</v>
      </c>
      <c r="S3" t="str">
        <f t="shared" si="0"/>
        <v>TBD-17</v>
      </c>
      <c r="V3" t="s">
        <v>17</v>
      </c>
      <c r="W3" t="s">
        <v>28</v>
      </c>
      <c r="X3" t="s">
        <v>17</v>
      </c>
      <c r="Y3" t="s">
        <v>258</v>
      </c>
      <c r="AC3" t="s">
        <v>24</v>
      </c>
      <c r="AD3" t="s">
        <v>24</v>
      </c>
      <c r="AE3" t="s">
        <v>24</v>
      </c>
      <c r="AF3" t="s">
        <v>24</v>
      </c>
      <c r="AO3" s="40"/>
      <c r="AP3" s="39"/>
      <c r="AQ3" s="41">
        <v>46057</v>
      </c>
      <c r="AR3" s="40"/>
    </row>
    <row r="4" spans="1:51" x14ac:dyDescent="0.25">
      <c r="A4">
        <v>24</v>
      </c>
      <c r="B4" t="s">
        <v>36</v>
      </c>
      <c r="C4" t="s">
        <v>35</v>
      </c>
      <c r="D4" t="s">
        <v>31</v>
      </c>
      <c r="E4" t="s">
        <v>34</v>
      </c>
      <c r="F4" t="s">
        <v>295</v>
      </c>
      <c r="G4" t="s">
        <v>24</v>
      </c>
      <c r="H4" t="s">
        <v>21</v>
      </c>
      <c r="I4" t="s">
        <v>16</v>
      </c>
      <c r="J4" t="s">
        <v>25</v>
      </c>
      <c r="K4" t="s">
        <v>33</v>
      </c>
      <c r="L4" t="s">
        <v>22</v>
      </c>
      <c r="M4" t="s">
        <v>32</v>
      </c>
      <c r="N4" t="s">
        <v>22</v>
      </c>
      <c r="O4" t="s">
        <v>133</v>
      </c>
      <c r="R4" t="s">
        <v>17</v>
      </c>
      <c r="S4" t="str">
        <f t="shared" si="0"/>
        <v>TBD-24</v>
      </c>
      <c r="AO4" s="40">
        <v>43857.443078703705</v>
      </c>
      <c r="AP4" s="39"/>
      <c r="AQ4" s="41">
        <v>43866</v>
      </c>
      <c r="AR4" s="40"/>
    </row>
    <row r="5" spans="1:51" x14ac:dyDescent="0.25">
      <c r="A5">
        <v>44</v>
      </c>
      <c r="B5" t="s">
        <v>36</v>
      </c>
      <c r="C5" t="s">
        <v>309</v>
      </c>
      <c r="D5" t="s">
        <v>408</v>
      </c>
      <c r="E5" t="s">
        <v>40</v>
      </c>
      <c r="F5" t="s">
        <v>153</v>
      </c>
      <c r="G5" t="s">
        <v>24</v>
      </c>
      <c r="H5" t="s">
        <v>21</v>
      </c>
      <c r="I5" t="s">
        <v>19</v>
      </c>
      <c r="J5" t="s">
        <v>30</v>
      </c>
      <c r="K5" t="s">
        <v>33</v>
      </c>
      <c r="L5" t="s">
        <v>409</v>
      </c>
      <c r="M5" t="s">
        <v>310</v>
      </c>
      <c r="N5" t="s">
        <v>22</v>
      </c>
      <c r="O5" t="s">
        <v>133</v>
      </c>
      <c r="P5" t="s">
        <v>729</v>
      </c>
      <c r="Q5" t="s">
        <v>727</v>
      </c>
      <c r="R5" t="s">
        <v>17</v>
      </c>
      <c r="S5" t="str">
        <f t="shared" si="0"/>
        <v>TBD-44</v>
      </c>
      <c r="AO5" s="40">
        <v>45321.408877314818</v>
      </c>
      <c r="AP5" s="39"/>
      <c r="AQ5" s="41">
        <v>45334</v>
      </c>
      <c r="AR5" s="40"/>
    </row>
    <row r="6" spans="1:51" x14ac:dyDescent="0.25">
      <c r="A6">
        <v>85</v>
      </c>
      <c r="B6" t="s">
        <v>36</v>
      </c>
      <c r="C6" t="s">
        <v>260</v>
      </c>
      <c r="D6" t="s">
        <v>42</v>
      </c>
      <c r="E6" t="s">
        <v>43</v>
      </c>
      <c r="F6" t="s">
        <v>153</v>
      </c>
      <c r="G6" t="s">
        <v>24</v>
      </c>
      <c r="H6" t="s">
        <v>21</v>
      </c>
      <c r="I6" t="s">
        <v>16</v>
      </c>
      <c r="J6" t="s">
        <v>30</v>
      </c>
      <c r="K6" t="s">
        <v>33</v>
      </c>
      <c r="L6" t="s">
        <v>327</v>
      </c>
      <c r="M6" t="s">
        <v>328</v>
      </c>
      <c r="N6" t="s">
        <v>22</v>
      </c>
      <c r="O6" t="s">
        <v>133</v>
      </c>
      <c r="P6">
        <v>18</v>
      </c>
      <c r="Q6" t="s">
        <v>727</v>
      </c>
      <c r="R6" t="s">
        <v>17</v>
      </c>
      <c r="S6" t="str">
        <f t="shared" si="0"/>
        <v>TBD-85</v>
      </c>
      <c r="AO6" s="40">
        <v>45321.464988425927</v>
      </c>
      <c r="AP6" s="39"/>
      <c r="AQ6" s="41">
        <v>45334</v>
      </c>
      <c r="AR6" s="40"/>
    </row>
    <row r="7" spans="1:51" x14ac:dyDescent="0.25">
      <c r="A7">
        <v>86</v>
      </c>
      <c r="B7" t="s">
        <v>36</v>
      </c>
      <c r="C7" t="s">
        <v>261</v>
      </c>
      <c r="D7" t="s">
        <v>44</v>
      </c>
      <c r="E7" t="s">
        <v>43</v>
      </c>
      <c r="F7" t="s">
        <v>153</v>
      </c>
      <c r="G7" t="s">
        <v>24</v>
      </c>
      <c r="H7" t="s">
        <v>21</v>
      </c>
      <c r="I7" t="s">
        <v>16</v>
      </c>
      <c r="J7" t="s">
        <v>30</v>
      </c>
      <c r="K7" t="s">
        <v>33</v>
      </c>
      <c r="L7" t="s">
        <v>327</v>
      </c>
      <c r="M7" t="s">
        <v>329</v>
      </c>
      <c r="N7" t="s">
        <v>22</v>
      </c>
      <c r="O7" t="s">
        <v>133</v>
      </c>
      <c r="P7">
        <v>18</v>
      </c>
      <c r="Q7" t="s">
        <v>727</v>
      </c>
      <c r="R7" t="s">
        <v>17</v>
      </c>
      <c r="S7" t="str">
        <f t="shared" si="0"/>
        <v>TBD-86</v>
      </c>
      <c r="AO7" s="40">
        <v>45321.465520833335</v>
      </c>
      <c r="AP7" s="39"/>
      <c r="AQ7" s="41">
        <v>45334</v>
      </c>
      <c r="AR7" s="40"/>
    </row>
    <row r="8" spans="1:51" x14ac:dyDescent="0.25">
      <c r="A8">
        <v>88</v>
      </c>
      <c r="B8" t="s">
        <v>36</v>
      </c>
      <c r="C8" t="s">
        <v>1076</v>
      </c>
      <c r="D8" t="s">
        <v>1077</v>
      </c>
      <c r="E8" t="s">
        <v>1078</v>
      </c>
      <c r="F8" t="s">
        <v>153</v>
      </c>
      <c r="G8" t="s">
        <v>24</v>
      </c>
      <c r="H8" t="s">
        <v>21</v>
      </c>
      <c r="I8" t="s">
        <v>16</v>
      </c>
      <c r="J8" t="s">
        <v>30</v>
      </c>
      <c r="K8" t="s">
        <v>18</v>
      </c>
      <c r="L8" t="s">
        <v>330</v>
      </c>
      <c r="M8" t="s">
        <v>1079</v>
      </c>
      <c r="N8">
        <v>2030</v>
      </c>
      <c r="O8" t="s">
        <v>133</v>
      </c>
      <c r="P8">
        <v>21</v>
      </c>
      <c r="Q8" t="s">
        <v>727</v>
      </c>
      <c r="R8" t="s">
        <v>17</v>
      </c>
      <c r="S8" t="str">
        <f t="shared" si="0"/>
        <v>2030-88</v>
      </c>
      <c r="AO8" s="40"/>
      <c r="AP8" s="39"/>
      <c r="AQ8" s="41">
        <v>46057</v>
      </c>
      <c r="AR8" s="40"/>
    </row>
    <row r="9" spans="1:51" x14ac:dyDescent="0.25">
      <c r="A9">
        <v>93</v>
      </c>
      <c r="B9" t="s">
        <v>36</v>
      </c>
      <c r="C9" t="s">
        <v>1108</v>
      </c>
      <c r="D9" t="s">
        <v>1109</v>
      </c>
      <c r="E9" t="s">
        <v>1080</v>
      </c>
      <c r="F9" t="s">
        <v>153</v>
      </c>
      <c r="G9" t="s">
        <v>24</v>
      </c>
      <c r="H9" t="s">
        <v>21</v>
      </c>
      <c r="I9" t="s">
        <v>16</v>
      </c>
      <c r="J9" t="s">
        <v>30</v>
      </c>
      <c r="K9" t="s">
        <v>18</v>
      </c>
      <c r="L9" t="s">
        <v>331</v>
      </c>
      <c r="M9" t="s">
        <v>1070</v>
      </c>
      <c r="N9">
        <v>2027</v>
      </c>
      <c r="O9" t="s">
        <v>133</v>
      </c>
      <c r="P9">
        <v>6</v>
      </c>
      <c r="Q9" t="s">
        <v>727</v>
      </c>
      <c r="R9" t="s">
        <v>17</v>
      </c>
      <c r="S9" t="str">
        <f t="shared" si="0"/>
        <v>2027-93</v>
      </c>
      <c r="AO9" s="40"/>
      <c r="AP9" s="39"/>
      <c r="AQ9" s="41">
        <v>46057</v>
      </c>
      <c r="AR9" s="40"/>
    </row>
    <row r="10" spans="1:51" x14ac:dyDescent="0.25">
      <c r="A10">
        <v>100</v>
      </c>
      <c r="B10" t="s">
        <v>166</v>
      </c>
      <c r="C10" t="s">
        <v>381</v>
      </c>
      <c r="D10" t="s">
        <v>1114</v>
      </c>
      <c r="E10" t="s">
        <v>75</v>
      </c>
      <c r="F10" t="s">
        <v>75</v>
      </c>
      <c r="G10" t="s">
        <v>24</v>
      </c>
      <c r="H10" t="s">
        <v>21</v>
      </c>
      <c r="I10" t="s">
        <v>19</v>
      </c>
      <c r="J10" t="s">
        <v>14</v>
      </c>
      <c r="K10" t="s">
        <v>18</v>
      </c>
      <c r="L10" t="s">
        <v>47</v>
      </c>
      <c r="M10" t="s">
        <v>624</v>
      </c>
      <c r="N10">
        <v>2032</v>
      </c>
      <c r="O10" t="s">
        <v>133</v>
      </c>
      <c r="P10" t="s">
        <v>729</v>
      </c>
      <c r="Q10" t="s">
        <v>727</v>
      </c>
      <c r="R10" t="s">
        <v>17</v>
      </c>
      <c r="S10" t="str">
        <f t="shared" si="0"/>
        <v>2032-100</v>
      </c>
      <c r="AO10" s="40"/>
      <c r="AP10" s="39"/>
      <c r="AQ10" s="41">
        <v>46062</v>
      </c>
      <c r="AR10" s="40"/>
    </row>
    <row r="11" spans="1:51" x14ac:dyDescent="0.25">
      <c r="A11">
        <v>102</v>
      </c>
      <c r="B11" t="s">
        <v>166</v>
      </c>
      <c r="C11" t="s">
        <v>48</v>
      </c>
      <c r="D11" t="s">
        <v>1115</v>
      </c>
      <c r="E11" t="s">
        <v>75</v>
      </c>
      <c r="F11" t="s">
        <v>623</v>
      </c>
      <c r="G11" t="s">
        <v>24</v>
      </c>
      <c r="H11" t="s">
        <v>21</v>
      </c>
      <c r="I11" t="s">
        <v>19</v>
      </c>
      <c r="J11" t="s">
        <v>14</v>
      </c>
      <c r="K11" t="s">
        <v>18</v>
      </c>
      <c r="L11" t="s">
        <v>1116</v>
      </c>
      <c r="M11" t="s">
        <v>1117</v>
      </c>
      <c r="N11">
        <v>2032</v>
      </c>
      <c r="O11" t="s">
        <v>133</v>
      </c>
      <c r="P11" t="s">
        <v>729</v>
      </c>
      <c r="Q11" t="s">
        <v>727</v>
      </c>
      <c r="R11" t="s">
        <v>17</v>
      </c>
      <c r="S11" t="str">
        <f t="shared" si="0"/>
        <v>2032-102</v>
      </c>
      <c r="AO11" s="40"/>
      <c r="AP11" s="39"/>
      <c r="AQ11" s="41">
        <v>46062</v>
      </c>
      <c r="AR11" s="40"/>
    </row>
    <row r="12" spans="1:51" x14ac:dyDescent="0.25">
      <c r="A12">
        <v>103</v>
      </c>
      <c r="B12" t="s">
        <v>166</v>
      </c>
      <c r="C12" t="s">
        <v>625</v>
      </c>
      <c r="D12" t="s">
        <v>49</v>
      </c>
      <c r="E12" t="s">
        <v>75</v>
      </c>
      <c r="F12" t="s">
        <v>623</v>
      </c>
      <c r="G12" t="s">
        <v>24</v>
      </c>
      <c r="H12" t="s">
        <v>21</v>
      </c>
      <c r="I12" t="s">
        <v>19</v>
      </c>
      <c r="J12" t="s">
        <v>14</v>
      </c>
      <c r="K12" t="s">
        <v>18</v>
      </c>
      <c r="L12" t="s">
        <v>1118</v>
      </c>
      <c r="M12" t="s">
        <v>1119</v>
      </c>
      <c r="N12">
        <v>2032</v>
      </c>
      <c r="O12" t="s">
        <v>133</v>
      </c>
      <c r="P12" t="s">
        <v>729</v>
      </c>
      <c r="Q12" t="s">
        <v>727</v>
      </c>
      <c r="R12" t="s">
        <v>17</v>
      </c>
      <c r="S12" t="str">
        <f t="shared" si="0"/>
        <v>2032-103</v>
      </c>
      <c r="AO12" s="40"/>
      <c r="AP12" s="39"/>
      <c r="AQ12" s="41">
        <v>46062</v>
      </c>
      <c r="AR12" s="40"/>
    </row>
    <row r="13" spans="1:51" x14ac:dyDescent="0.25">
      <c r="A13">
        <v>106</v>
      </c>
      <c r="B13" t="s">
        <v>166</v>
      </c>
      <c r="C13" t="s">
        <v>1250</v>
      </c>
      <c r="D13" t="s">
        <v>50</v>
      </c>
      <c r="E13" t="s">
        <v>346</v>
      </c>
      <c r="F13" t="s">
        <v>626</v>
      </c>
      <c r="G13" t="s">
        <v>24</v>
      </c>
      <c r="H13" t="s">
        <v>21</v>
      </c>
      <c r="I13" t="s">
        <v>16</v>
      </c>
      <c r="J13" t="s">
        <v>30</v>
      </c>
      <c r="K13" t="s">
        <v>18</v>
      </c>
      <c r="L13" t="s">
        <v>1251</v>
      </c>
      <c r="M13" t="s">
        <v>1252</v>
      </c>
      <c r="N13">
        <v>2031</v>
      </c>
      <c r="O13" t="s">
        <v>133</v>
      </c>
      <c r="P13">
        <v>17</v>
      </c>
      <c r="Q13" t="s">
        <v>727</v>
      </c>
      <c r="R13" t="s">
        <v>17</v>
      </c>
      <c r="S13" t="str">
        <f t="shared" si="0"/>
        <v>2031-106</v>
      </c>
      <c r="AO13" s="40"/>
      <c r="AP13" s="39"/>
      <c r="AQ13" s="41">
        <v>46062</v>
      </c>
      <c r="AR13" s="40"/>
    </row>
    <row r="14" spans="1:51" x14ac:dyDescent="0.25">
      <c r="A14">
        <v>108</v>
      </c>
      <c r="B14" t="s">
        <v>166</v>
      </c>
      <c r="C14" t="s">
        <v>1253</v>
      </c>
      <c r="D14" t="s">
        <v>1254</v>
      </c>
      <c r="E14" t="s">
        <v>347</v>
      </c>
      <c r="F14" t="s">
        <v>153</v>
      </c>
      <c r="G14" t="s">
        <v>24</v>
      </c>
      <c r="H14" t="s">
        <v>21</v>
      </c>
      <c r="I14" t="s">
        <v>16</v>
      </c>
      <c r="J14" t="s">
        <v>30</v>
      </c>
      <c r="K14" t="s">
        <v>33</v>
      </c>
      <c r="L14" t="s">
        <v>51</v>
      </c>
      <c r="M14" t="s">
        <v>52</v>
      </c>
      <c r="N14">
        <v>2030</v>
      </c>
      <c r="O14" t="s">
        <v>133</v>
      </c>
      <c r="P14">
        <v>34</v>
      </c>
      <c r="Q14" t="s">
        <v>727</v>
      </c>
      <c r="R14" t="s">
        <v>17</v>
      </c>
      <c r="S14" t="str">
        <f t="shared" si="0"/>
        <v>2030-108</v>
      </c>
      <c r="AO14" s="40"/>
      <c r="AP14" s="39"/>
      <c r="AQ14" s="41">
        <v>46062</v>
      </c>
      <c r="AR14" s="40"/>
    </row>
    <row r="15" spans="1:51" x14ac:dyDescent="0.25">
      <c r="A15">
        <v>110</v>
      </c>
      <c r="B15" t="s">
        <v>166</v>
      </c>
      <c r="C15" t="s">
        <v>1120</v>
      </c>
      <c r="D15" t="s">
        <v>627</v>
      </c>
      <c r="E15" t="s">
        <v>75</v>
      </c>
      <c r="F15" t="s">
        <v>623</v>
      </c>
      <c r="G15" t="s">
        <v>24</v>
      </c>
      <c r="H15" t="s">
        <v>21</v>
      </c>
      <c r="I15" t="s">
        <v>19</v>
      </c>
      <c r="J15" t="s">
        <v>14</v>
      </c>
      <c r="K15" t="s">
        <v>18</v>
      </c>
      <c r="L15" t="s">
        <v>1121</v>
      </c>
      <c r="M15" t="s">
        <v>1122</v>
      </c>
      <c r="N15">
        <v>2028</v>
      </c>
      <c r="O15" t="s">
        <v>133</v>
      </c>
      <c r="P15" t="s">
        <v>729</v>
      </c>
      <c r="Q15" t="s">
        <v>727</v>
      </c>
      <c r="R15" t="s">
        <v>17</v>
      </c>
      <c r="S15" t="str">
        <f t="shared" si="0"/>
        <v>2028-110</v>
      </c>
      <c r="AO15" s="40"/>
      <c r="AP15" s="39"/>
      <c r="AQ15" s="41">
        <v>46062</v>
      </c>
      <c r="AR15" s="40"/>
    </row>
    <row r="16" spans="1:51" x14ac:dyDescent="0.25">
      <c r="A16">
        <v>112</v>
      </c>
      <c r="B16" t="s">
        <v>166</v>
      </c>
      <c r="C16" t="s">
        <v>939</v>
      </c>
      <c r="D16" t="s">
        <v>628</v>
      </c>
      <c r="E16" t="s">
        <v>75</v>
      </c>
      <c r="F16" t="s">
        <v>623</v>
      </c>
      <c r="G16" t="s">
        <v>24</v>
      </c>
      <c r="H16" t="s">
        <v>21</v>
      </c>
      <c r="I16" t="s">
        <v>16</v>
      </c>
      <c r="J16" t="s">
        <v>14</v>
      </c>
      <c r="K16" t="s">
        <v>18</v>
      </c>
      <c r="L16" t="s">
        <v>348</v>
      </c>
      <c r="M16" t="s">
        <v>940</v>
      </c>
      <c r="N16">
        <v>2028</v>
      </c>
      <c r="O16" t="s">
        <v>133</v>
      </c>
      <c r="P16">
        <v>11</v>
      </c>
      <c r="Q16" t="s">
        <v>727</v>
      </c>
      <c r="R16" t="s">
        <v>17</v>
      </c>
      <c r="S16" t="str">
        <f t="shared" si="0"/>
        <v>2028-112</v>
      </c>
      <c r="AO16" s="40">
        <v>45314.590312499997</v>
      </c>
      <c r="AP16" s="39"/>
      <c r="AQ16" s="41">
        <v>45328</v>
      </c>
      <c r="AR16" s="40"/>
    </row>
    <row r="17" spans="1:44" x14ac:dyDescent="0.25">
      <c r="A17">
        <v>166</v>
      </c>
      <c r="B17" t="s">
        <v>36</v>
      </c>
      <c r="C17" t="s">
        <v>262</v>
      </c>
      <c r="D17" t="s">
        <v>263</v>
      </c>
      <c r="E17" t="s">
        <v>56</v>
      </c>
      <c r="F17" t="s">
        <v>153</v>
      </c>
      <c r="G17" t="s">
        <v>24</v>
      </c>
      <c r="H17" t="s">
        <v>21</v>
      </c>
      <c r="I17" t="s">
        <v>16</v>
      </c>
      <c r="J17" t="s">
        <v>30</v>
      </c>
      <c r="K17" t="s">
        <v>33</v>
      </c>
      <c r="L17" t="s">
        <v>333</v>
      </c>
      <c r="M17" t="s">
        <v>326</v>
      </c>
      <c r="N17" t="s">
        <v>22</v>
      </c>
      <c r="O17" t="s">
        <v>133</v>
      </c>
      <c r="P17">
        <v>16</v>
      </c>
      <c r="Q17" t="s">
        <v>727</v>
      </c>
      <c r="R17" t="s">
        <v>17</v>
      </c>
      <c r="S17" t="str">
        <f t="shared" si="0"/>
        <v>TBD-166</v>
      </c>
      <c r="AO17" s="40">
        <v>45321.463136574072</v>
      </c>
      <c r="AP17" s="39"/>
      <c r="AQ17" s="41">
        <v>45334</v>
      </c>
      <c r="AR17" s="40"/>
    </row>
    <row r="18" spans="1:44" x14ac:dyDescent="0.25">
      <c r="A18">
        <v>194</v>
      </c>
      <c r="B18" t="s">
        <v>36</v>
      </c>
      <c r="C18" t="s">
        <v>264</v>
      </c>
      <c r="D18" t="s">
        <v>58</v>
      </c>
      <c r="E18" t="s">
        <v>59</v>
      </c>
      <c r="F18" t="s">
        <v>153</v>
      </c>
      <c r="G18" t="s">
        <v>24</v>
      </c>
      <c r="H18" t="s">
        <v>21</v>
      </c>
      <c r="I18" t="s">
        <v>16</v>
      </c>
      <c r="J18" t="s">
        <v>30</v>
      </c>
      <c r="K18" t="s">
        <v>33</v>
      </c>
      <c r="L18" t="s">
        <v>334</v>
      </c>
      <c r="M18" t="s">
        <v>335</v>
      </c>
      <c r="N18" t="s">
        <v>22</v>
      </c>
      <c r="O18" t="s">
        <v>133</v>
      </c>
      <c r="P18">
        <v>12</v>
      </c>
      <c r="Q18" t="s">
        <v>727</v>
      </c>
      <c r="R18" t="s">
        <v>17</v>
      </c>
      <c r="S18" t="str">
        <f t="shared" si="0"/>
        <v>TBD-194</v>
      </c>
      <c r="AO18" s="40">
        <v>45321.453368055554</v>
      </c>
      <c r="AP18" s="39"/>
      <c r="AQ18" s="41">
        <v>45334</v>
      </c>
      <c r="AR18" s="40"/>
    </row>
    <row r="19" spans="1:44" x14ac:dyDescent="0.25">
      <c r="A19">
        <v>271</v>
      </c>
      <c r="B19" t="s">
        <v>166</v>
      </c>
      <c r="C19" t="s">
        <v>1255</v>
      </c>
      <c r="D19" t="s">
        <v>1256</v>
      </c>
      <c r="E19" t="s">
        <v>69</v>
      </c>
      <c r="F19" t="s">
        <v>153</v>
      </c>
      <c r="G19" t="s">
        <v>24</v>
      </c>
      <c r="H19" t="s">
        <v>21</v>
      </c>
      <c r="I19" t="s">
        <v>16</v>
      </c>
      <c r="J19" t="s">
        <v>27</v>
      </c>
      <c r="K19" t="s">
        <v>33</v>
      </c>
      <c r="L19" t="s">
        <v>1257</v>
      </c>
      <c r="M19" t="s">
        <v>1157</v>
      </c>
      <c r="N19" t="s">
        <v>22</v>
      </c>
      <c r="O19" t="s">
        <v>133</v>
      </c>
      <c r="P19">
        <v>40</v>
      </c>
      <c r="Q19" t="s">
        <v>727</v>
      </c>
      <c r="R19" t="s">
        <v>17</v>
      </c>
      <c r="S19" t="str">
        <f t="shared" si="0"/>
        <v>TBD-271</v>
      </c>
      <c r="AO19" s="40"/>
      <c r="AP19" s="39"/>
      <c r="AQ19" s="41">
        <v>46062</v>
      </c>
      <c r="AR19" s="40"/>
    </row>
    <row r="20" spans="1:44" x14ac:dyDescent="0.25">
      <c r="A20">
        <v>315</v>
      </c>
      <c r="B20" t="s">
        <v>39</v>
      </c>
      <c r="C20" t="s">
        <v>733</v>
      </c>
      <c r="D20" t="s">
        <v>733</v>
      </c>
      <c r="E20" t="s">
        <v>539</v>
      </c>
      <c r="F20" t="s">
        <v>153</v>
      </c>
      <c r="G20" t="s">
        <v>24</v>
      </c>
      <c r="H20" t="s">
        <v>21</v>
      </c>
      <c r="I20" t="s">
        <v>19</v>
      </c>
      <c r="J20" t="s">
        <v>20</v>
      </c>
      <c r="K20" t="s">
        <v>18</v>
      </c>
      <c r="L20" t="s">
        <v>734</v>
      </c>
      <c r="M20" t="s">
        <v>734</v>
      </c>
      <c r="N20">
        <v>2030</v>
      </c>
      <c r="O20" t="s">
        <v>133</v>
      </c>
      <c r="P20" t="s">
        <v>729</v>
      </c>
      <c r="Q20" t="s">
        <v>731</v>
      </c>
      <c r="R20" t="s">
        <v>17</v>
      </c>
      <c r="S20" t="s">
        <v>732</v>
      </c>
      <c r="AO20" s="40">
        <v>45294.561736111114</v>
      </c>
      <c r="AP20" s="39"/>
      <c r="AQ20" s="41">
        <v>45324</v>
      </c>
      <c r="AR20" s="40"/>
    </row>
    <row r="21" spans="1:44" x14ac:dyDescent="0.25">
      <c r="A21">
        <v>340</v>
      </c>
      <c r="B21" t="s">
        <v>166</v>
      </c>
      <c r="C21" t="s">
        <v>1123</v>
      </c>
      <c r="D21" t="s">
        <v>1124</v>
      </c>
      <c r="E21" t="s">
        <v>74</v>
      </c>
      <c r="F21" t="s">
        <v>153</v>
      </c>
      <c r="G21" t="s">
        <v>24</v>
      </c>
      <c r="H21" t="s">
        <v>21</v>
      </c>
      <c r="I21" t="s">
        <v>19</v>
      </c>
      <c r="J21" t="s">
        <v>27</v>
      </c>
      <c r="K21" t="s">
        <v>18</v>
      </c>
      <c r="L21" t="s">
        <v>1125</v>
      </c>
      <c r="M21" t="s">
        <v>1126</v>
      </c>
      <c r="N21">
        <v>2033</v>
      </c>
      <c r="O21" t="s">
        <v>133</v>
      </c>
      <c r="P21" t="s">
        <v>729</v>
      </c>
      <c r="Q21" t="s">
        <v>727</v>
      </c>
      <c r="R21" t="s">
        <v>17</v>
      </c>
      <c r="S21" t="str">
        <f t="shared" ref="S21:S40" si="1">N21&amp;"-"&amp;A21</f>
        <v>2033-340</v>
      </c>
      <c r="AO21" s="40"/>
      <c r="AP21" s="39"/>
      <c r="AQ21" s="41">
        <v>46062</v>
      </c>
      <c r="AR21" s="40"/>
    </row>
    <row r="22" spans="1:44" x14ac:dyDescent="0.25">
      <c r="A22">
        <v>347</v>
      </c>
      <c r="B22" t="s">
        <v>166</v>
      </c>
      <c r="C22" t="s">
        <v>1127</v>
      </c>
      <c r="D22" t="s">
        <v>1128</v>
      </c>
      <c r="E22" t="s">
        <v>1129</v>
      </c>
      <c r="F22" t="s">
        <v>629</v>
      </c>
      <c r="G22" t="s">
        <v>24</v>
      </c>
      <c r="H22" t="s">
        <v>21</v>
      </c>
      <c r="I22" t="s">
        <v>16</v>
      </c>
      <c r="J22" t="s">
        <v>14</v>
      </c>
      <c r="K22" t="s">
        <v>18</v>
      </c>
      <c r="L22" t="s">
        <v>1130</v>
      </c>
      <c r="M22" t="s">
        <v>1131</v>
      </c>
      <c r="N22">
        <v>2028</v>
      </c>
      <c r="O22" t="s">
        <v>133</v>
      </c>
      <c r="P22">
        <v>13</v>
      </c>
      <c r="Q22" t="s">
        <v>727</v>
      </c>
      <c r="R22" t="s">
        <v>17</v>
      </c>
      <c r="S22" t="str">
        <f t="shared" si="1"/>
        <v>2028-347</v>
      </c>
      <c r="AO22" s="40"/>
      <c r="AP22" s="39"/>
      <c r="AQ22" s="41">
        <v>46062</v>
      </c>
      <c r="AR22" s="40"/>
    </row>
    <row r="23" spans="1:44" x14ac:dyDescent="0.25">
      <c r="A23">
        <v>348</v>
      </c>
      <c r="B23" t="s">
        <v>166</v>
      </c>
      <c r="C23" t="s">
        <v>1132</v>
      </c>
      <c r="D23" t="s">
        <v>1133</v>
      </c>
      <c r="E23" t="s">
        <v>1134</v>
      </c>
      <c r="F23" t="s">
        <v>629</v>
      </c>
      <c r="G23" t="s">
        <v>24</v>
      </c>
      <c r="H23" t="s">
        <v>21</v>
      </c>
      <c r="I23" t="s">
        <v>19</v>
      </c>
      <c r="J23" t="s">
        <v>14</v>
      </c>
      <c r="K23" t="s">
        <v>33</v>
      </c>
      <c r="L23" t="s">
        <v>1135</v>
      </c>
      <c r="M23" t="s">
        <v>1136</v>
      </c>
      <c r="N23">
        <v>2028</v>
      </c>
      <c r="O23" t="s">
        <v>133</v>
      </c>
      <c r="P23" t="s">
        <v>729</v>
      </c>
      <c r="Q23" t="s">
        <v>727</v>
      </c>
      <c r="R23" t="s">
        <v>17</v>
      </c>
      <c r="S23" t="str">
        <f t="shared" si="1"/>
        <v>2028-348</v>
      </c>
      <c r="AO23" s="40"/>
      <c r="AP23" s="39"/>
      <c r="AQ23" s="41">
        <v>46062</v>
      </c>
      <c r="AR23" s="40"/>
    </row>
    <row r="24" spans="1:44" x14ac:dyDescent="0.25">
      <c r="A24">
        <v>349</v>
      </c>
      <c r="B24" t="s">
        <v>166</v>
      </c>
      <c r="C24" t="s">
        <v>1258</v>
      </c>
      <c r="D24" t="s">
        <v>1231</v>
      </c>
      <c r="E24" t="s">
        <v>75</v>
      </c>
      <c r="F24" t="s">
        <v>623</v>
      </c>
      <c r="G24" t="s">
        <v>24</v>
      </c>
      <c r="H24" t="s">
        <v>21</v>
      </c>
      <c r="I24" t="s">
        <v>16</v>
      </c>
      <c r="J24" t="s">
        <v>14</v>
      </c>
      <c r="K24" t="s">
        <v>18</v>
      </c>
      <c r="L24" t="s">
        <v>1259</v>
      </c>
      <c r="M24" t="s">
        <v>1260</v>
      </c>
      <c r="N24">
        <v>2032</v>
      </c>
      <c r="O24" t="s">
        <v>133</v>
      </c>
      <c r="P24">
        <v>4.5</v>
      </c>
      <c r="Q24" t="s">
        <v>727</v>
      </c>
      <c r="R24" t="s">
        <v>17</v>
      </c>
      <c r="S24" t="str">
        <f t="shared" si="1"/>
        <v>2032-349</v>
      </c>
      <c r="AO24" s="40"/>
      <c r="AP24" s="39"/>
      <c r="AQ24" s="41">
        <v>46062</v>
      </c>
      <c r="AR24" s="40"/>
    </row>
    <row r="25" spans="1:44" x14ac:dyDescent="0.25">
      <c r="A25">
        <v>450</v>
      </c>
      <c r="B25" t="s">
        <v>166</v>
      </c>
      <c r="C25" t="s">
        <v>79</v>
      </c>
      <c r="D25" t="s">
        <v>630</v>
      </c>
      <c r="E25" t="s">
        <v>631</v>
      </c>
      <c r="F25" t="s">
        <v>631</v>
      </c>
      <c r="G25" t="s">
        <v>24</v>
      </c>
      <c r="H25" t="s">
        <v>21</v>
      </c>
      <c r="I25" t="s">
        <v>19</v>
      </c>
      <c r="J25" t="s">
        <v>14</v>
      </c>
      <c r="K25" t="s">
        <v>18</v>
      </c>
      <c r="L25" t="s">
        <v>81</v>
      </c>
      <c r="M25" t="s">
        <v>632</v>
      </c>
      <c r="N25">
        <v>2029</v>
      </c>
      <c r="O25" t="s">
        <v>133</v>
      </c>
      <c r="P25" t="s">
        <v>729</v>
      </c>
      <c r="Q25" t="s">
        <v>727</v>
      </c>
      <c r="R25" t="s">
        <v>17</v>
      </c>
      <c r="S25" t="str">
        <f t="shared" si="1"/>
        <v>2029-450</v>
      </c>
      <c r="AO25" s="40">
        <v>45296.567025462966</v>
      </c>
      <c r="AP25" s="39"/>
      <c r="AQ25" s="41">
        <v>45328</v>
      </c>
      <c r="AR25" s="40"/>
    </row>
    <row r="26" spans="1:44" x14ac:dyDescent="0.25">
      <c r="A26">
        <v>451</v>
      </c>
      <c r="B26" t="s">
        <v>166</v>
      </c>
      <c r="C26" t="s">
        <v>1137</v>
      </c>
      <c r="D26" t="s">
        <v>1138</v>
      </c>
      <c r="E26" t="s">
        <v>75</v>
      </c>
      <c r="F26" t="s">
        <v>623</v>
      </c>
      <c r="G26" t="s">
        <v>24</v>
      </c>
      <c r="H26" t="s">
        <v>21</v>
      </c>
      <c r="I26" t="s">
        <v>19</v>
      </c>
      <c r="J26" t="s">
        <v>14</v>
      </c>
      <c r="K26" t="s">
        <v>18</v>
      </c>
      <c r="L26" t="s">
        <v>80</v>
      </c>
      <c r="M26" t="s">
        <v>382</v>
      </c>
      <c r="N26">
        <v>2027</v>
      </c>
      <c r="O26" t="s">
        <v>133</v>
      </c>
      <c r="P26" t="s">
        <v>729</v>
      </c>
      <c r="Q26" t="s">
        <v>727</v>
      </c>
      <c r="R26" t="s">
        <v>17</v>
      </c>
      <c r="S26" t="str">
        <f t="shared" si="1"/>
        <v>2027-451</v>
      </c>
      <c r="AO26" s="40"/>
      <c r="AP26" s="39"/>
      <c r="AQ26" s="41">
        <v>46062</v>
      </c>
      <c r="AR26" s="40"/>
    </row>
    <row r="27" spans="1:44" x14ac:dyDescent="0.25">
      <c r="A27">
        <v>582</v>
      </c>
      <c r="B27" t="s">
        <v>65</v>
      </c>
      <c r="C27" t="s">
        <v>173</v>
      </c>
      <c r="D27" t="s">
        <v>204</v>
      </c>
      <c r="E27" t="s">
        <v>174</v>
      </c>
      <c r="F27" t="s">
        <v>153</v>
      </c>
      <c r="G27" t="s">
        <v>24</v>
      </c>
      <c r="H27" t="s">
        <v>21</v>
      </c>
      <c r="I27" t="s">
        <v>16</v>
      </c>
      <c r="J27" t="s">
        <v>30</v>
      </c>
      <c r="K27" t="s">
        <v>33</v>
      </c>
      <c r="L27" t="s">
        <v>90</v>
      </c>
      <c r="M27" t="s">
        <v>91</v>
      </c>
      <c r="N27" t="s">
        <v>22</v>
      </c>
      <c r="O27" t="s">
        <v>150</v>
      </c>
      <c r="P27" t="s">
        <v>22</v>
      </c>
      <c r="Q27" t="s">
        <v>730</v>
      </c>
      <c r="R27" t="s">
        <v>17</v>
      </c>
      <c r="S27" t="str">
        <f t="shared" si="1"/>
        <v>TBD-582</v>
      </c>
      <c r="U27" t="s">
        <v>17</v>
      </c>
      <c r="V27" t="s">
        <v>17</v>
      </c>
      <c r="AO27" s="40">
        <v>45309.324571759258</v>
      </c>
      <c r="AP27" s="39"/>
      <c r="AQ27" s="41">
        <v>45324</v>
      </c>
      <c r="AR27" s="40"/>
    </row>
    <row r="28" spans="1:44" x14ac:dyDescent="0.25">
      <c r="A28">
        <v>675</v>
      </c>
      <c r="B28" t="s">
        <v>166</v>
      </c>
      <c r="C28" t="s">
        <v>1139</v>
      </c>
      <c r="D28" t="s">
        <v>1140</v>
      </c>
      <c r="E28" t="s">
        <v>75</v>
      </c>
      <c r="F28" t="s">
        <v>631</v>
      </c>
      <c r="G28" t="s">
        <v>24</v>
      </c>
      <c r="H28" t="s">
        <v>21</v>
      </c>
      <c r="I28" t="s">
        <v>16</v>
      </c>
      <c r="J28" t="s">
        <v>14</v>
      </c>
      <c r="K28" t="s">
        <v>18</v>
      </c>
      <c r="L28" t="s">
        <v>1141</v>
      </c>
      <c r="M28" t="s">
        <v>1142</v>
      </c>
      <c r="N28">
        <v>2029</v>
      </c>
      <c r="O28" t="s">
        <v>133</v>
      </c>
      <c r="P28">
        <v>14.5</v>
      </c>
      <c r="Q28" t="s">
        <v>727</v>
      </c>
      <c r="R28" t="s">
        <v>17</v>
      </c>
      <c r="S28" t="str">
        <f t="shared" si="1"/>
        <v>2029-675</v>
      </c>
      <c r="AO28" s="40"/>
      <c r="AP28" s="40"/>
      <c r="AQ28" s="41">
        <v>46062</v>
      </c>
      <c r="AR28" s="40">
        <v>40851.667210648149</v>
      </c>
    </row>
    <row r="29" spans="1:44" x14ac:dyDescent="0.25">
      <c r="A29">
        <v>736</v>
      </c>
      <c r="B29" t="s">
        <v>65</v>
      </c>
      <c r="C29" t="s">
        <v>699</v>
      </c>
      <c r="D29" t="s">
        <v>265</v>
      </c>
      <c r="E29" t="s">
        <v>189</v>
      </c>
      <c r="F29" t="s">
        <v>460</v>
      </c>
      <c r="G29" t="s">
        <v>17</v>
      </c>
      <c r="H29" t="s">
        <v>22</v>
      </c>
      <c r="I29" t="s">
        <v>16</v>
      </c>
      <c r="J29" t="s">
        <v>30</v>
      </c>
      <c r="K29" t="s">
        <v>33</v>
      </c>
      <c r="L29" t="s">
        <v>190</v>
      </c>
      <c r="M29" t="s">
        <v>266</v>
      </c>
      <c r="N29" t="s">
        <v>22</v>
      </c>
      <c r="O29" t="s">
        <v>150</v>
      </c>
      <c r="P29" t="s">
        <v>22</v>
      </c>
      <c r="Q29" t="s">
        <v>730</v>
      </c>
      <c r="R29" t="s">
        <v>17</v>
      </c>
      <c r="S29" t="str">
        <f t="shared" si="1"/>
        <v>TBD-736</v>
      </c>
      <c r="U29" t="s">
        <v>24</v>
      </c>
      <c r="W29" t="s">
        <v>24</v>
      </c>
      <c r="AO29" s="40">
        <v>45309.325428240743</v>
      </c>
      <c r="AP29" s="40"/>
      <c r="AQ29" s="41">
        <v>45324</v>
      </c>
      <c r="AR29" s="40">
        <v>41254.628379629627</v>
      </c>
    </row>
    <row r="30" spans="1:44" x14ac:dyDescent="0.25">
      <c r="A30">
        <v>759</v>
      </c>
      <c r="B30" t="s">
        <v>63</v>
      </c>
      <c r="C30" t="s">
        <v>195</v>
      </c>
      <c r="D30" t="s">
        <v>713</v>
      </c>
      <c r="E30" t="s">
        <v>196</v>
      </c>
      <c r="F30" t="s">
        <v>153</v>
      </c>
      <c r="G30" t="s">
        <v>24</v>
      </c>
      <c r="H30" t="s">
        <v>21</v>
      </c>
      <c r="I30" t="s">
        <v>16</v>
      </c>
      <c r="J30" t="s">
        <v>20</v>
      </c>
      <c r="K30" t="s">
        <v>33</v>
      </c>
      <c r="L30" t="s">
        <v>197</v>
      </c>
      <c r="M30" t="s">
        <v>198</v>
      </c>
      <c r="N30" t="s">
        <v>22</v>
      </c>
      <c r="O30" t="s">
        <v>133</v>
      </c>
      <c r="P30">
        <v>61</v>
      </c>
      <c r="Q30" t="s">
        <v>731</v>
      </c>
      <c r="R30" t="s">
        <v>17</v>
      </c>
      <c r="S30" t="str">
        <f t="shared" si="1"/>
        <v>TBD-759</v>
      </c>
      <c r="AO30" s="40">
        <v>45299.353171296294</v>
      </c>
      <c r="AP30" s="40"/>
      <c r="AQ30" s="41">
        <v>45324</v>
      </c>
      <c r="AR30" s="40">
        <v>41612.479050925926</v>
      </c>
    </row>
    <row r="31" spans="1:44" x14ac:dyDescent="0.25">
      <c r="A31">
        <v>792</v>
      </c>
      <c r="B31" t="s">
        <v>65</v>
      </c>
      <c r="C31" t="s">
        <v>206</v>
      </c>
      <c r="D31" t="s">
        <v>707</v>
      </c>
      <c r="E31" t="s">
        <v>205</v>
      </c>
      <c r="F31" t="s">
        <v>153</v>
      </c>
      <c r="G31" t="s">
        <v>24</v>
      </c>
      <c r="H31" t="s">
        <v>21</v>
      </c>
      <c r="I31" t="s">
        <v>19</v>
      </c>
      <c r="J31" t="s">
        <v>20</v>
      </c>
      <c r="K31" t="s">
        <v>33</v>
      </c>
      <c r="L31" t="s">
        <v>206</v>
      </c>
      <c r="M31" t="s">
        <v>206</v>
      </c>
      <c r="N31" t="s">
        <v>22</v>
      </c>
      <c r="O31" t="s">
        <v>150</v>
      </c>
      <c r="P31" t="s">
        <v>729</v>
      </c>
      <c r="Q31" t="s">
        <v>730</v>
      </c>
      <c r="R31" t="s">
        <v>17</v>
      </c>
      <c r="S31" t="str">
        <f t="shared" si="1"/>
        <v>TBD-792</v>
      </c>
      <c r="AO31" s="40">
        <v>45301.485208333332</v>
      </c>
      <c r="AP31" s="40"/>
      <c r="AQ31" s="41">
        <v>45324</v>
      </c>
      <c r="AR31" s="40">
        <v>41624.547812500001</v>
      </c>
    </row>
    <row r="32" spans="1:44" x14ac:dyDescent="0.25">
      <c r="A32">
        <v>793</v>
      </c>
      <c r="B32" t="s">
        <v>65</v>
      </c>
      <c r="C32" t="s">
        <v>267</v>
      </c>
      <c r="D32" t="s">
        <v>268</v>
      </c>
      <c r="E32" t="s">
        <v>207</v>
      </c>
      <c r="F32" t="s">
        <v>153</v>
      </c>
      <c r="G32" t="s">
        <v>24</v>
      </c>
      <c r="H32" t="s">
        <v>21</v>
      </c>
      <c r="I32" t="s">
        <v>16</v>
      </c>
      <c r="J32" t="s">
        <v>20</v>
      </c>
      <c r="K32" t="s">
        <v>33</v>
      </c>
      <c r="L32" t="s">
        <v>269</v>
      </c>
      <c r="M32" t="s">
        <v>203</v>
      </c>
      <c r="N32" t="s">
        <v>22</v>
      </c>
      <c r="O32" t="s">
        <v>150</v>
      </c>
      <c r="P32" t="s">
        <v>22</v>
      </c>
      <c r="Q32" t="s">
        <v>730</v>
      </c>
      <c r="R32" t="s">
        <v>17</v>
      </c>
      <c r="S32" t="str">
        <f t="shared" si="1"/>
        <v>TBD-793</v>
      </c>
      <c r="AO32" s="40">
        <v>45309.326168981483</v>
      </c>
      <c r="AP32" s="40"/>
      <c r="AQ32" s="41">
        <v>45324</v>
      </c>
      <c r="AR32" s="40">
        <v>41624.548090277778</v>
      </c>
    </row>
    <row r="33" spans="1:44" x14ac:dyDescent="0.25">
      <c r="A33">
        <v>877</v>
      </c>
      <c r="B33" t="s">
        <v>166</v>
      </c>
      <c r="C33" t="s">
        <v>271</v>
      </c>
      <c r="D33" t="s">
        <v>271</v>
      </c>
      <c r="E33" t="s">
        <v>272</v>
      </c>
      <c r="F33" t="s">
        <v>153</v>
      </c>
      <c r="G33" t="s">
        <v>24</v>
      </c>
      <c r="H33" t="s">
        <v>21</v>
      </c>
      <c r="I33" t="s">
        <v>19</v>
      </c>
      <c r="J33" t="s">
        <v>14</v>
      </c>
      <c r="K33" t="s">
        <v>728</v>
      </c>
      <c r="L33" t="s">
        <v>208</v>
      </c>
      <c r="M33" t="s">
        <v>21</v>
      </c>
      <c r="N33">
        <v>2024</v>
      </c>
      <c r="O33" t="s">
        <v>133</v>
      </c>
      <c r="P33" t="s">
        <v>729</v>
      </c>
      <c r="Q33" t="s">
        <v>727</v>
      </c>
      <c r="R33" t="s">
        <v>17</v>
      </c>
      <c r="S33" t="str">
        <f t="shared" si="1"/>
        <v>2024-877</v>
      </c>
      <c r="AO33" s="40"/>
      <c r="AP33" s="40"/>
      <c r="AQ33" s="41">
        <v>46062</v>
      </c>
      <c r="AR33" s="40">
        <v>41988.591597222221</v>
      </c>
    </row>
    <row r="34" spans="1:44" x14ac:dyDescent="0.25">
      <c r="A34">
        <v>878</v>
      </c>
      <c r="B34" t="s">
        <v>166</v>
      </c>
      <c r="C34" t="s">
        <v>633</v>
      </c>
      <c r="D34" t="s">
        <v>634</v>
      </c>
      <c r="E34" t="s">
        <v>273</v>
      </c>
      <c r="F34" t="s">
        <v>153</v>
      </c>
      <c r="G34" t="s">
        <v>24</v>
      </c>
      <c r="H34" t="s">
        <v>21</v>
      </c>
      <c r="I34" t="s">
        <v>19</v>
      </c>
      <c r="J34" t="s">
        <v>14</v>
      </c>
      <c r="K34" t="s">
        <v>33</v>
      </c>
      <c r="L34" t="s">
        <v>635</v>
      </c>
      <c r="M34" t="s">
        <v>21</v>
      </c>
      <c r="N34" t="s">
        <v>22</v>
      </c>
      <c r="O34" t="s">
        <v>133</v>
      </c>
      <c r="P34" t="s">
        <v>729</v>
      </c>
      <c r="Q34" t="s">
        <v>727</v>
      </c>
      <c r="R34" t="s">
        <v>17</v>
      </c>
      <c r="S34" t="str">
        <f t="shared" si="1"/>
        <v>TBD-878</v>
      </c>
      <c r="AO34" s="40">
        <v>45296.570057870369</v>
      </c>
      <c r="AP34" s="40"/>
      <c r="AQ34" s="41">
        <v>45328</v>
      </c>
      <c r="AR34" s="40">
        <v>41988.591898148145</v>
      </c>
    </row>
    <row r="35" spans="1:44" x14ac:dyDescent="0.25">
      <c r="A35">
        <v>884</v>
      </c>
      <c r="B35" t="s">
        <v>63</v>
      </c>
      <c r="C35" t="s">
        <v>297</v>
      </c>
      <c r="D35" t="s">
        <v>712</v>
      </c>
      <c r="E35" t="s">
        <v>277</v>
      </c>
      <c r="F35" t="s">
        <v>153</v>
      </c>
      <c r="G35" t="s">
        <v>24</v>
      </c>
      <c r="H35" t="s">
        <v>21</v>
      </c>
      <c r="I35" t="s">
        <v>16</v>
      </c>
      <c r="J35" t="s">
        <v>20</v>
      </c>
      <c r="K35" t="s">
        <v>33</v>
      </c>
      <c r="L35" t="s">
        <v>278</v>
      </c>
      <c r="M35" t="s">
        <v>279</v>
      </c>
      <c r="N35" t="s">
        <v>22</v>
      </c>
      <c r="O35" t="s">
        <v>150</v>
      </c>
      <c r="P35">
        <v>16</v>
      </c>
      <c r="Q35" t="s">
        <v>730</v>
      </c>
      <c r="R35" t="s">
        <v>17</v>
      </c>
      <c r="S35" t="str">
        <f t="shared" si="1"/>
        <v>TBD-884</v>
      </c>
      <c r="AO35" s="40">
        <v>45299.355439814812</v>
      </c>
      <c r="AP35" s="40"/>
      <c r="AQ35" s="41">
        <v>45324</v>
      </c>
      <c r="AR35" s="40">
        <v>42305.430810185186</v>
      </c>
    </row>
    <row r="36" spans="1:44" x14ac:dyDescent="0.25">
      <c r="A36">
        <v>885</v>
      </c>
      <c r="B36" t="s">
        <v>63</v>
      </c>
      <c r="C36" t="s">
        <v>280</v>
      </c>
      <c r="D36" t="s">
        <v>281</v>
      </c>
      <c r="E36" t="s">
        <v>282</v>
      </c>
      <c r="F36" t="s">
        <v>153</v>
      </c>
      <c r="G36" t="s">
        <v>24</v>
      </c>
      <c r="H36" t="s">
        <v>21</v>
      </c>
      <c r="I36" t="s">
        <v>16</v>
      </c>
      <c r="J36" t="s">
        <v>30</v>
      </c>
      <c r="K36" t="s">
        <v>33</v>
      </c>
      <c r="L36" t="s">
        <v>283</v>
      </c>
      <c r="M36" t="s">
        <v>192</v>
      </c>
      <c r="N36" t="s">
        <v>22</v>
      </c>
      <c r="O36" t="s">
        <v>150</v>
      </c>
      <c r="P36">
        <v>62</v>
      </c>
      <c r="Q36" t="s">
        <v>730</v>
      </c>
      <c r="R36" t="s">
        <v>17</v>
      </c>
      <c r="S36" t="str">
        <f t="shared" si="1"/>
        <v>TBD-885</v>
      </c>
      <c r="AO36" s="40">
        <v>45299.356099537035</v>
      </c>
      <c r="AP36" s="40"/>
      <c r="AQ36" s="41">
        <v>45324</v>
      </c>
      <c r="AR36" s="40">
        <v>42311.379074074073</v>
      </c>
    </row>
    <row r="37" spans="1:44" x14ac:dyDescent="0.25">
      <c r="A37">
        <v>951</v>
      </c>
      <c r="B37" t="s">
        <v>65</v>
      </c>
      <c r="C37" t="s">
        <v>609</v>
      </c>
      <c r="D37" t="s">
        <v>299</v>
      </c>
      <c r="E37" t="s">
        <v>153</v>
      </c>
      <c r="F37" t="s">
        <v>153</v>
      </c>
      <c r="G37" t="s">
        <v>24</v>
      </c>
      <c r="H37" t="s">
        <v>21</v>
      </c>
      <c r="I37" t="s">
        <v>16</v>
      </c>
      <c r="J37" t="s">
        <v>20</v>
      </c>
      <c r="K37" t="s">
        <v>18</v>
      </c>
      <c r="L37" t="s">
        <v>300</v>
      </c>
      <c r="M37" t="s">
        <v>301</v>
      </c>
      <c r="N37">
        <v>2029</v>
      </c>
      <c r="O37" t="s">
        <v>150</v>
      </c>
      <c r="P37" t="s">
        <v>22</v>
      </c>
      <c r="Q37" t="s">
        <v>730</v>
      </c>
      <c r="R37" t="s">
        <v>17</v>
      </c>
      <c r="S37" t="str">
        <f t="shared" si="1"/>
        <v>2029-951</v>
      </c>
      <c r="AO37" s="40"/>
      <c r="AP37" s="40"/>
      <c r="AQ37" s="41">
        <v>46062</v>
      </c>
      <c r="AR37" s="40">
        <v>42349.512175925927</v>
      </c>
    </row>
    <row r="38" spans="1:44" x14ac:dyDescent="0.25">
      <c r="A38">
        <v>952</v>
      </c>
      <c r="B38" t="s">
        <v>65</v>
      </c>
      <c r="C38" t="s">
        <v>302</v>
      </c>
      <c r="D38" t="s">
        <v>303</v>
      </c>
      <c r="E38" t="s">
        <v>304</v>
      </c>
      <c r="F38" t="s">
        <v>153</v>
      </c>
      <c r="G38" t="s">
        <v>24</v>
      </c>
      <c r="H38" t="s">
        <v>21</v>
      </c>
      <c r="I38" t="s">
        <v>16</v>
      </c>
      <c r="J38" t="s">
        <v>30</v>
      </c>
      <c r="K38" t="s">
        <v>33</v>
      </c>
      <c r="L38" t="s">
        <v>305</v>
      </c>
      <c r="M38" t="s">
        <v>191</v>
      </c>
      <c r="N38" t="s">
        <v>22</v>
      </c>
      <c r="O38" t="s">
        <v>150</v>
      </c>
      <c r="P38" t="s">
        <v>22</v>
      </c>
      <c r="Q38" t="s">
        <v>730</v>
      </c>
      <c r="R38" t="s">
        <v>17</v>
      </c>
      <c r="S38" t="str">
        <f t="shared" si="1"/>
        <v>TBD-952</v>
      </c>
      <c r="AO38" s="40">
        <v>45309.327615740738</v>
      </c>
      <c r="AP38" s="40"/>
      <c r="AQ38" s="41">
        <v>45324</v>
      </c>
      <c r="AR38" s="40">
        <v>42349.502303240741</v>
      </c>
    </row>
    <row r="39" spans="1:44" x14ac:dyDescent="0.25">
      <c r="A39">
        <v>953</v>
      </c>
      <c r="B39" t="s">
        <v>65</v>
      </c>
      <c r="C39" t="s">
        <v>610</v>
      </c>
      <c r="D39" t="s">
        <v>894</v>
      </c>
      <c r="E39" t="s">
        <v>306</v>
      </c>
      <c r="F39" t="s">
        <v>153</v>
      </c>
      <c r="G39" t="s">
        <v>24</v>
      </c>
      <c r="H39" t="s">
        <v>21</v>
      </c>
      <c r="I39" t="s">
        <v>16</v>
      </c>
      <c r="J39" t="s">
        <v>20</v>
      </c>
      <c r="K39" t="s">
        <v>728</v>
      </c>
      <c r="L39" t="s">
        <v>190</v>
      </c>
      <c r="M39" t="s">
        <v>307</v>
      </c>
      <c r="N39">
        <v>2024</v>
      </c>
      <c r="O39" t="s">
        <v>150</v>
      </c>
      <c r="P39">
        <v>17</v>
      </c>
      <c r="Q39" t="s">
        <v>730</v>
      </c>
      <c r="R39" t="s">
        <v>17</v>
      </c>
      <c r="S39" t="str">
        <f t="shared" si="1"/>
        <v>2024-953</v>
      </c>
      <c r="AO39" s="40"/>
      <c r="AP39" s="40"/>
      <c r="AQ39" s="41">
        <v>46062</v>
      </c>
      <c r="AR39" s="40">
        <v>42349.502476851849</v>
      </c>
    </row>
    <row r="40" spans="1:44" x14ac:dyDescent="0.25">
      <c r="A40">
        <v>954</v>
      </c>
      <c r="B40" t="s">
        <v>65</v>
      </c>
      <c r="C40" t="s">
        <v>376</v>
      </c>
      <c r="D40" t="s">
        <v>377</v>
      </c>
      <c r="E40" t="s">
        <v>308</v>
      </c>
      <c r="F40" t="s">
        <v>153</v>
      </c>
      <c r="G40" t="s">
        <v>24</v>
      </c>
      <c r="H40" t="s">
        <v>21</v>
      </c>
      <c r="I40" t="s">
        <v>16</v>
      </c>
      <c r="J40" t="s">
        <v>30</v>
      </c>
      <c r="K40" t="s">
        <v>33</v>
      </c>
      <c r="L40" t="s">
        <v>191</v>
      </c>
      <c r="M40" t="s">
        <v>378</v>
      </c>
      <c r="N40" t="s">
        <v>22</v>
      </c>
      <c r="O40" t="s">
        <v>150</v>
      </c>
      <c r="P40" t="s">
        <v>22</v>
      </c>
      <c r="Q40" t="s">
        <v>730</v>
      </c>
      <c r="R40" t="s">
        <v>17</v>
      </c>
      <c r="S40" t="str">
        <f t="shared" si="1"/>
        <v>TBD-954</v>
      </c>
      <c r="AO40" s="40">
        <v>45309.329282407409</v>
      </c>
      <c r="AP40" s="40"/>
      <c r="AQ40" s="41">
        <v>45324</v>
      </c>
      <c r="AR40" s="40">
        <v>42349.50267361111</v>
      </c>
    </row>
    <row r="41" spans="1:44" x14ac:dyDescent="0.25">
      <c r="A41">
        <v>970</v>
      </c>
      <c r="B41" t="s">
        <v>63</v>
      </c>
      <c r="C41" t="s">
        <v>918</v>
      </c>
      <c r="D41" t="s">
        <v>318</v>
      </c>
      <c r="E41" t="s">
        <v>75</v>
      </c>
      <c r="F41" t="s">
        <v>153</v>
      </c>
      <c r="G41" t="s">
        <v>24</v>
      </c>
      <c r="H41" t="s">
        <v>21</v>
      </c>
      <c r="I41" t="s">
        <v>19</v>
      </c>
      <c r="J41" t="s">
        <v>20</v>
      </c>
      <c r="K41" t="s">
        <v>18</v>
      </c>
      <c r="L41" t="s">
        <v>919</v>
      </c>
      <c r="M41" t="s">
        <v>919</v>
      </c>
      <c r="N41">
        <v>2027</v>
      </c>
      <c r="O41" t="s">
        <v>150</v>
      </c>
      <c r="P41" t="s">
        <v>729</v>
      </c>
      <c r="Q41" t="s">
        <v>730</v>
      </c>
      <c r="R41" t="s">
        <v>17</v>
      </c>
      <c r="S41" t="s">
        <v>1568</v>
      </c>
      <c r="AO41" s="40"/>
      <c r="AP41" s="40"/>
      <c r="AQ41" s="41">
        <v>46063</v>
      </c>
      <c r="AR41" s="40">
        <v>43104.553472222222</v>
      </c>
    </row>
    <row r="42" spans="1:44" x14ac:dyDescent="0.25">
      <c r="A42">
        <v>976</v>
      </c>
      <c r="B42" t="s">
        <v>63</v>
      </c>
      <c r="C42" t="s">
        <v>319</v>
      </c>
      <c r="D42" t="s">
        <v>710</v>
      </c>
      <c r="E42" t="s">
        <v>153</v>
      </c>
      <c r="F42" t="s">
        <v>153</v>
      </c>
      <c r="G42" t="s">
        <v>24</v>
      </c>
      <c r="H42" t="s">
        <v>21</v>
      </c>
      <c r="I42" t="s">
        <v>16</v>
      </c>
      <c r="J42" t="s">
        <v>20</v>
      </c>
      <c r="K42" t="s">
        <v>33</v>
      </c>
      <c r="L42" t="s">
        <v>188</v>
      </c>
      <c r="M42" t="s">
        <v>320</v>
      </c>
      <c r="N42" t="s">
        <v>22</v>
      </c>
      <c r="O42" t="s">
        <v>150</v>
      </c>
      <c r="P42">
        <v>2</v>
      </c>
      <c r="Q42" t="s">
        <v>730</v>
      </c>
      <c r="R42" t="s">
        <v>17</v>
      </c>
      <c r="S42" t="s">
        <v>1569</v>
      </c>
      <c r="AO42" s="40"/>
      <c r="AP42" s="40"/>
      <c r="AQ42" s="41">
        <v>46063</v>
      </c>
      <c r="AR42" s="40">
        <v>43104.55431712963</v>
      </c>
    </row>
    <row r="43" spans="1:44" x14ac:dyDescent="0.25">
      <c r="A43">
        <v>987</v>
      </c>
      <c r="B43" t="s">
        <v>63</v>
      </c>
      <c r="C43" t="s">
        <v>321</v>
      </c>
      <c r="D43" t="s">
        <v>322</v>
      </c>
      <c r="E43" t="s">
        <v>323</v>
      </c>
      <c r="F43" t="s">
        <v>153</v>
      </c>
      <c r="G43" t="s">
        <v>24</v>
      </c>
      <c r="H43" t="s">
        <v>21</v>
      </c>
      <c r="I43" t="s">
        <v>19</v>
      </c>
      <c r="J43" t="s">
        <v>20</v>
      </c>
      <c r="K43" t="s">
        <v>18</v>
      </c>
      <c r="L43" t="s">
        <v>324</v>
      </c>
      <c r="M43" t="s">
        <v>324</v>
      </c>
      <c r="N43">
        <v>2036</v>
      </c>
      <c r="O43" t="s">
        <v>133</v>
      </c>
      <c r="P43" t="s">
        <v>729</v>
      </c>
      <c r="Q43" t="s">
        <v>731</v>
      </c>
      <c r="R43" t="s">
        <v>17</v>
      </c>
      <c r="S43" t="s">
        <v>1570</v>
      </c>
      <c r="AO43" s="40"/>
      <c r="AP43" s="40"/>
      <c r="AQ43" s="41">
        <v>46063</v>
      </c>
      <c r="AR43" s="40">
        <v>43105.596655092595</v>
      </c>
    </row>
    <row r="44" spans="1:44" x14ac:dyDescent="0.25">
      <c r="A44">
        <v>1001</v>
      </c>
      <c r="B44" t="s">
        <v>39</v>
      </c>
      <c r="C44" t="s">
        <v>737</v>
      </c>
      <c r="D44" t="s">
        <v>1552</v>
      </c>
      <c r="E44" t="s">
        <v>541</v>
      </c>
      <c r="F44" t="s">
        <v>153</v>
      </c>
      <c r="G44" t="s">
        <v>24</v>
      </c>
      <c r="H44" t="s">
        <v>21</v>
      </c>
      <c r="I44" t="s">
        <v>16</v>
      </c>
      <c r="J44" t="s">
        <v>27</v>
      </c>
      <c r="K44" t="s">
        <v>18</v>
      </c>
      <c r="L44" t="s">
        <v>1553</v>
      </c>
      <c r="M44" t="s">
        <v>325</v>
      </c>
      <c r="N44">
        <v>2028</v>
      </c>
      <c r="O44" t="s">
        <v>133</v>
      </c>
      <c r="P44">
        <v>29.88</v>
      </c>
      <c r="Q44" t="s">
        <v>585</v>
      </c>
      <c r="R44" t="s">
        <v>17</v>
      </c>
      <c r="S44" t="s">
        <v>736</v>
      </c>
      <c r="AO44" s="40">
        <v>45294.563113425924</v>
      </c>
      <c r="AP44" s="40"/>
      <c r="AQ44" s="41">
        <v>45324</v>
      </c>
      <c r="AR44" s="40">
        <v>43084.561018518521</v>
      </c>
    </row>
    <row r="45" spans="1:44" x14ac:dyDescent="0.25">
      <c r="A45">
        <v>1042</v>
      </c>
      <c r="B45" t="s">
        <v>36</v>
      </c>
      <c r="C45" t="s">
        <v>1081</v>
      </c>
      <c r="D45" t="s">
        <v>1082</v>
      </c>
      <c r="E45" t="s">
        <v>336</v>
      </c>
      <c r="F45" t="s">
        <v>153</v>
      </c>
      <c r="G45" t="s">
        <v>24</v>
      </c>
      <c r="H45" t="s">
        <v>21</v>
      </c>
      <c r="I45" t="s">
        <v>16</v>
      </c>
      <c r="J45" t="s">
        <v>30</v>
      </c>
      <c r="K45" t="s">
        <v>33</v>
      </c>
      <c r="L45" t="s">
        <v>337</v>
      </c>
      <c r="M45" t="s">
        <v>338</v>
      </c>
      <c r="N45" t="s">
        <v>22</v>
      </c>
      <c r="O45" t="s">
        <v>133</v>
      </c>
      <c r="P45">
        <v>5</v>
      </c>
      <c r="Q45" t="s">
        <v>727</v>
      </c>
      <c r="R45" t="s">
        <v>17</v>
      </c>
      <c r="S45" t="str">
        <f t="shared" ref="S45:S61" si="2">N45&amp;"-"&amp;A45</f>
        <v>TBD-1042</v>
      </c>
      <c r="AO45" s="40">
        <v>45321.454733796294</v>
      </c>
      <c r="AP45" s="40"/>
      <c r="AQ45" s="41">
        <v>45334</v>
      </c>
      <c r="AR45" s="40">
        <v>43125.588495370372</v>
      </c>
    </row>
    <row r="46" spans="1:44" x14ac:dyDescent="0.25">
      <c r="A46">
        <v>1043</v>
      </c>
      <c r="B46" t="s">
        <v>36</v>
      </c>
      <c r="C46" t="s">
        <v>339</v>
      </c>
      <c r="D46" t="s">
        <v>340</v>
      </c>
      <c r="E46" t="s">
        <v>259</v>
      </c>
      <c r="F46" t="s">
        <v>153</v>
      </c>
      <c r="G46" t="s">
        <v>24</v>
      </c>
      <c r="H46" t="s">
        <v>21</v>
      </c>
      <c r="I46" t="s">
        <v>19</v>
      </c>
      <c r="J46" t="s">
        <v>30</v>
      </c>
      <c r="K46" t="s">
        <v>33</v>
      </c>
      <c r="L46" t="s">
        <v>341</v>
      </c>
      <c r="M46" t="s">
        <v>338</v>
      </c>
      <c r="N46" t="s">
        <v>22</v>
      </c>
      <c r="O46" t="s">
        <v>133</v>
      </c>
      <c r="P46">
        <v>14</v>
      </c>
      <c r="Q46" t="s">
        <v>727</v>
      </c>
      <c r="R46" t="s">
        <v>17</v>
      </c>
      <c r="S46" t="str">
        <f t="shared" si="2"/>
        <v>TBD-1043</v>
      </c>
      <c r="AO46" s="40">
        <v>45321.455567129633</v>
      </c>
      <c r="AP46" s="40"/>
      <c r="AQ46" s="41">
        <v>45334</v>
      </c>
      <c r="AR46" s="40">
        <v>43125.595775462964</v>
      </c>
    </row>
    <row r="47" spans="1:44" x14ac:dyDescent="0.25">
      <c r="A47">
        <v>1044</v>
      </c>
      <c r="B47" t="s">
        <v>36</v>
      </c>
      <c r="C47" t="s">
        <v>342</v>
      </c>
      <c r="D47" t="s">
        <v>343</v>
      </c>
      <c r="E47" t="s">
        <v>344</v>
      </c>
      <c r="F47" t="s">
        <v>458</v>
      </c>
      <c r="G47" t="s">
        <v>24</v>
      </c>
      <c r="H47" t="s">
        <v>21</v>
      </c>
      <c r="I47" t="s">
        <v>16</v>
      </c>
      <c r="J47" t="s">
        <v>25</v>
      </c>
      <c r="K47" t="s">
        <v>33</v>
      </c>
      <c r="L47" t="s">
        <v>345</v>
      </c>
      <c r="M47" t="s">
        <v>86</v>
      </c>
      <c r="N47" t="s">
        <v>22</v>
      </c>
      <c r="O47" t="s">
        <v>133</v>
      </c>
      <c r="R47" t="s">
        <v>17</v>
      </c>
      <c r="S47" t="str">
        <f t="shared" si="2"/>
        <v>TBD-1044</v>
      </c>
      <c r="AO47" s="40">
        <v>43858.396319444444</v>
      </c>
      <c r="AP47" s="40"/>
      <c r="AQ47" s="41">
        <v>43866</v>
      </c>
      <c r="AR47" s="40">
        <v>43125.598749999997</v>
      </c>
    </row>
    <row r="48" spans="1:44" x14ac:dyDescent="0.25">
      <c r="A48">
        <v>1055</v>
      </c>
      <c r="B48" t="s">
        <v>166</v>
      </c>
      <c r="C48" t="s">
        <v>349</v>
      </c>
      <c r="D48" t="s">
        <v>383</v>
      </c>
      <c r="E48" t="s">
        <v>383</v>
      </c>
      <c r="F48" t="s">
        <v>153</v>
      </c>
      <c r="G48" t="s">
        <v>24</v>
      </c>
      <c r="H48" t="s">
        <v>21</v>
      </c>
      <c r="I48" t="s">
        <v>19</v>
      </c>
      <c r="J48" t="s">
        <v>30</v>
      </c>
      <c r="K48" t="s">
        <v>33</v>
      </c>
      <c r="L48" t="s">
        <v>350</v>
      </c>
      <c r="M48" t="s">
        <v>352</v>
      </c>
      <c r="N48" t="s">
        <v>22</v>
      </c>
      <c r="O48" t="s">
        <v>133</v>
      </c>
      <c r="P48" t="s">
        <v>729</v>
      </c>
      <c r="Q48" t="s">
        <v>727</v>
      </c>
      <c r="R48" t="s">
        <v>17</v>
      </c>
      <c r="S48" t="str">
        <f t="shared" si="2"/>
        <v>TBD-1055</v>
      </c>
      <c r="AO48" s="40">
        <v>45296.570798611108</v>
      </c>
      <c r="AP48" s="40"/>
      <c r="AQ48" s="41">
        <v>45328</v>
      </c>
      <c r="AR48" s="40">
        <v>43112.507916666669</v>
      </c>
    </row>
    <row r="49" spans="1:44" x14ac:dyDescent="0.25">
      <c r="A49">
        <v>1072</v>
      </c>
      <c r="B49" t="s">
        <v>166</v>
      </c>
      <c r="C49" t="s">
        <v>355</v>
      </c>
      <c r="D49" t="s">
        <v>384</v>
      </c>
      <c r="E49" t="s">
        <v>353</v>
      </c>
      <c r="F49" t="s">
        <v>153</v>
      </c>
      <c r="G49" t="s">
        <v>24</v>
      </c>
      <c r="H49" t="s">
        <v>21</v>
      </c>
      <c r="I49" t="s">
        <v>19</v>
      </c>
      <c r="J49" t="s">
        <v>14</v>
      </c>
      <c r="K49" t="s">
        <v>18</v>
      </c>
      <c r="L49" t="s">
        <v>298</v>
      </c>
      <c r="M49" t="s">
        <v>298</v>
      </c>
      <c r="N49">
        <v>2029</v>
      </c>
      <c r="O49" t="s">
        <v>133</v>
      </c>
      <c r="P49" t="s">
        <v>729</v>
      </c>
      <c r="Q49" t="s">
        <v>727</v>
      </c>
      <c r="R49" t="s">
        <v>17</v>
      </c>
      <c r="S49" t="str">
        <f t="shared" si="2"/>
        <v>2029-1072</v>
      </c>
      <c r="AO49" s="40"/>
      <c r="AP49" s="40"/>
      <c r="AQ49" s="41">
        <v>46062</v>
      </c>
      <c r="AR49" s="40">
        <v>43105.570879629631</v>
      </c>
    </row>
    <row r="50" spans="1:44" x14ac:dyDescent="0.25">
      <c r="A50">
        <v>1079</v>
      </c>
      <c r="B50" t="s">
        <v>166</v>
      </c>
      <c r="C50" t="s">
        <v>1143</v>
      </c>
      <c r="D50" t="s">
        <v>941</v>
      </c>
      <c r="E50" t="s">
        <v>356</v>
      </c>
      <c r="F50" t="s">
        <v>153</v>
      </c>
      <c r="G50" t="s">
        <v>24</v>
      </c>
      <c r="H50" t="s">
        <v>21</v>
      </c>
      <c r="I50" t="s">
        <v>16</v>
      </c>
      <c r="J50" t="s">
        <v>14</v>
      </c>
      <c r="K50" t="s">
        <v>33</v>
      </c>
      <c r="L50" t="s">
        <v>1144</v>
      </c>
      <c r="M50" t="s">
        <v>1145</v>
      </c>
      <c r="N50" t="s">
        <v>22</v>
      </c>
      <c r="O50" t="s">
        <v>133</v>
      </c>
      <c r="P50">
        <v>6</v>
      </c>
      <c r="Q50" t="s">
        <v>727</v>
      </c>
      <c r="R50" t="s">
        <v>17</v>
      </c>
      <c r="S50" t="str">
        <f t="shared" si="2"/>
        <v>TBD-1079</v>
      </c>
      <c r="AO50" s="40"/>
      <c r="AP50" s="40"/>
      <c r="AQ50" s="41">
        <v>46062</v>
      </c>
      <c r="AR50" s="40">
        <v>43109.377337962964</v>
      </c>
    </row>
    <row r="51" spans="1:44" x14ac:dyDescent="0.25">
      <c r="A51">
        <v>1080</v>
      </c>
      <c r="B51" t="s">
        <v>166</v>
      </c>
      <c r="C51" t="s">
        <v>357</v>
      </c>
      <c r="D51" t="s">
        <v>942</v>
      </c>
      <c r="E51" t="s">
        <v>358</v>
      </c>
      <c r="F51" t="s">
        <v>153</v>
      </c>
      <c r="G51" t="s">
        <v>24</v>
      </c>
      <c r="H51" t="s">
        <v>21</v>
      </c>
      <c r="I51" t="s">
        <v>16</v>
      </c>
      <c r="J51" t="s">
        <v>14</v>
      </c>
      <c r="K51" t="s">
        <v>33</v>
      </c>
      <c r="L51" t="s">
        <v>351</v>
      </c>
      <c r="M51" t="s">
        <v>352</v>
      </c>
      <c r="N51" t="s">
        <v>22</v>
      </c>
      <c r="O51" t="s">
        <v>133</v>
      </c>
      <c r="P51">
        <v>3</v>
      </c>
      <c r="Q51" t="s">
        <v>727</v>
      </c>
      <c r="R51" t="s">
        <v>17</v>
      </c>
      <c r="S51" t="str">
        <f t="shared" si="2"/>
        <v>TBD-1080</v>
      </c>
      <c r="AO51" s="40">
        <v>45296.575671296298</v>
      </c>
      <c r="AP51" s="40"/>
      <c r="AQ51" s="41">
        <v>45328</v>
      </c>
      <c r="AR51" s="40">
        <v>43109.388680555552</v>
      </c>
    </row>
    <row r="52" spans="1:44" x14ac:dyDescent="0.25">
      <c r="A52">
        <v>1081</v>
      </c>
      <c r="B52" t="s">
        <v>166</v>
      </c>
      <c r="C52" t="s">
        <v>1146</v>
      </c>
      <c r="D52" t="s">
        <v>1147</v>
      </c>
      <c r="E52" t="s">
        <v>1148</v>
      </c>
      <c r="F52" t="s">
        <v>153</v>
      </c>
      <c r="G52" t="s">
        <v>24</v>
      </c>
      <c r="H52" t="s">
        <v>21</v>
      </c>
      <c r="I52" t="s">
        <v>16</v>
      </c>
      <c r="J52" t="s">
        <v>14</v>
      </c>
      <c r="K52" t="s">
        <v>18</v>
      </c>
      <c r="L52" t="s">
        <v>1149</v>
      </c>
      <c r="M52" t="s">
        <v>403</v>
      </c>
      <c r="N52">
        <v>2029</v>
      </c>
      <c r="O52" t="s">
        <v>133</v>
      </c>
      <c r="P52">
        <v>28</v>
      </c>
      <c r="Q52" t="s">
        <v>727</v>
      </c>
      <c r="R52" t="s">
        <v>17</v>
      </c>
      <c r="S52" t="str">
        <f t="shared" si="2"/>
        <v>2029-1081</v>
      </c>
      <c r="AO52" s="40"/>
      <c r="AP52" s="40"/>
      <c r="AQ52" s="41">
        <v>46062</v>
      </c>
      <c r="AR52" s="40">
        <v>43109.392789351848</v>
      </c>
    </row>
    <row r="53" spans="1:44" x14ac:dyDescent="0.25">
      <c r="A53">
        <v>1082</v>
      </c>
      <c r="B53" t="s">
        <v>166</v>
      </c>
      <c r="C53" t="s">
        <v>359</v>
      </c>
      <c r="D53" t="s">
        <v>943</v>
      </c>
      <c r="E53" t="s">
        <v>353</v>
      </c>
      <c r="F53" t="s">
        <v>153</v>
      </c>
      <c r="G53" t="s">
        <v>24</v>
      </c>
      <c r="H53" t="s">
        <v>21</v>
      </c>
      <c r="I53" t="s">
        <v>19</v>
      </c>
      <c r="J53" t="s">
        <v>14</v>
      </c>
      <c r="K53" t="s">
        <v>728</v>
      </c>
      <c r="L53" t="s">
        <v>360</v>
      </c>
      <c r="M53" t="s">
        <v>360</v>
      </c>
      <c r="N53">
        <v>2025</v>
      </c>
      <c r="O53" t="s">
        <v>133</v>
      </c>
      <c r="P53" t="s">
        <v>729</v>
      </c>
      <c r="Q53" t="s">
        <v>727</v>
      </c>
      <c r="R53" t="s">
        <v>17</v>
      </c>
      <c r="S53" t="str">
        <f t="shared" si="2"/>
        <v>2025-1082</v>
      </c>
      <c r="AO53" s="40"/>
      <c r="AP53" s="40"/>
      <c r="AQ53" s="41">
        <v>46062</v>
      </c>
      <c r="AR53" s="40">
        <v>43109.695439814815</v>
      </c>
    </row>
    <row r="54" spans="1:44" x14ac:dyDescent="0.25">
      <c r="A54">
        <v>1085</v>
      </c>
      <c r="B54" t="s">
        <v>166</v>
      </c>
      <c r="C54" t="s">
        <v>1150</v>
      </c>
      <c r="D54" t="s">
        <v>1151</v>
      </c>
      <c r="E54" t="s">
        <v>74</v>
      </c>
      <c r="F54" t="s">
        <v>153</v>
      </c>
      <c r="G54" t="s">
        <v>24</v>
      </c>
      <c r="H54" t="s">
        <v>21</v>
      </c>
      <c r="I54" t="s">
        <v>16</v>
      </c>
      <c r="J54" t="s">
        <v>14</v>
      </c>
      <c r="K54" t="s">
        <v>33</v>
      </c>
      <c r="L54" t="s">
        <v>1116</v>
      </c>
      <c r="M54" t="s">
        <v>1121</v>
      </c>
      <c r="N54" t="s">
        <v>22</v>
      </c>
      <c r="O54" t="s">
        <v>133</v>
      </c>
      <c r="P54">
        <v>18</v>
      </c>
      <c r="Q54" t="s">
        <v>727</v>
      </c>
      <c r="R54" t="s">
        <v>17</v>
      </c>
      <c r="S54" t="str">
        <f t="shared" si="2"/>
        <v>TBD-1085</v>
      </c>
      <c r="AO54" s="40"/>
      <c r="AP54" s="40"/>
      <c r="AQ54" s="41">
        <v>46062</v>
      </c>
      <c r="AR54" s="40">
        <v>43109.611527777779</v>
      </c>
    </row>
    <row r="55" spans="1:44" x14ac:dyDescent="0.25">
      <c r="A55">
        <v>1087</v>
      </c>
      <c r="B55" t="s">
        <v>166</v>
      </c>
      <c r="C55" t="s">
        <v>1152</v>
      </c>
      <c r="D55" t="s">
        <v>1153</v>
      </c>
      <c r="E55" t="s">
        <v>361</v>
      </c>
      <c r="F55" t="s">
        <v>153</v>
      </c>
      <c r="G55" t="s">
        <v>24</v>
      </c>
      <c r="H55" t="s">
        <v>21</v>
      </c>
      <c r="I55" t="s">
        <v>16</v>
      </c>
      <c r="J55" t="s">
        <v>25</v>
      </c>
      <c r="K55" t="s">
        <v>33</v>
      </c>
      <c r="L55" t="s">
        <v>1154</v>
      </c>
      <c r="M55" t="s">
        <v>1155</v>
      </c>
      <c r="N55" t="s">
        <v>22</v>
      </c>
      <c r="O55" t="s">
        <v>133</v>
      </c>
      <c r="P55">
        <v>80</v>
      </c>
      <c r="Q55" t="s">
        <v>727</v>
      </c>
      <c r="R55" t="s">
        <v>17</v>
      </c>
      <c r="S55" t="str">
        <f t="shared" si="2"/>
        <v>TBD-1087</v>
      </c>
      <c r="AO55" s="40"/>
      <c r="AP55" s="40"/>
      <c r="AQ55" s="41">
        <v>46062</v>
      </c>
      <c r="AR55" s="40">
        <v>43109.635416666664</v>
      </c>
    </row>
    <row r="56" spans="1:44" x14ac:dyDescent="0.25">
      <c r="A56">
        <v>1088</v>
      </c>
      <c r="B56" t="s">
        <v>166</v>
      </c>
      <c r="C56" t="s">
        <v>1156</v>
      </c>
      <c r="D56" t="s">
        <v>362</v>
      </c>
      <c r="E56" t="s">
        <v>363</v>
      </c>
      <c r="F56" t="s">
        <v>153</v>
      </c>
      <c r="G56" t="s">
        <v>24</v>
      </c>
      <c r="H56" t="s">
        <v>21</v>
      </c>
      <c r="I56" t="s">
        <v>16</v>
      </c>
      <c r="J56" t="s">
        <v>27</v>
      </c>
      <c r="K56" t="s">
        <v>33</v>
      </c>
      <c r="L56" t="s">
        <v>1157</v>
      </c>
      <c r="M56" t="s">
        <v>1158</v>
      </c>
      <c r="N56" t="s">
        <v>22</v>
      </c>
      <c r="O56" t="s">
        <v>133</v>
      </c>
      <c r="P56">
        <v>14</v>
      </c>
      <c r="Q56" t="s">
        <v>727</v>
      </c>
      <c r="R56" t="s">
        <v>17</v>
      </c>
      <c r="S56" t="str">
        <f t="shared" si="2"/>
        <v>TBD-1088</v>
      </c>
      <c r="AO56" s="40"/>
      <c r="AP56" s="40"/>
      <c r="AQ56" s="41">
        <v>46062</v>
      </c>
      <c r="AR56" s="40">
        <v>43112.523668981485</v>
      </c>
    </row>
    <row r="57" spans="1:44" x14ac:dyDescent="0.25">
      <c r="A57">
        <v>1089</v>
      </c>
      <c r="B57" t="s">
        <v>166</v>
      </c>
      <c r="C57" t="s">
        <v>1159</v>
      </c>
      <c r="D57" t="s">
        <v>1160</v>
      </c>
      <c r="E57" t="s">
        <v>364</v>
      </c>
      <c r="F57" t="s">
        <v>153</v>
      </c>
      <c r="G57" t="s">
        <v>24</v>
      </c>
      <c r="H57" t="s">
        <v>21</v>
      </c>
      <c r="I57" t="s">
        <v>16</v>
      </c>
      <c r="J57" t="s">
        <v>27</v>
      </c>
      <c r="K57" t="s">
        <v>33</v>
      </c>
      <c r="L57" t="s">
        <v>385</v>
      </c>
      <c r="M57" t="s">
        <v>1157</v>
      </c>
      <c r="N57" t="s">
        <v>22</v>
      </c>
      <c r="O57" t="s">
        <v>133</v>
      </c>
      <c r="P57">
        <v>230</v>
      </c>
      <c r="Q57" t="s">
        <v>585</v>
      </c>
      <c r="R57" t="s">
        <v>17</v>
      </c>
      <c r="S57" t="str">
        <f t="shared" si="2"/>
        <v>TBD-1089</v>
      </c>
      <c r="AO57" s="40"/>
      <c r="AP57" s="40"/>
      <c r="AQ57" s="41">
        <v>46062</v>
      </c>
      <c r="AR57" s="40">
        <v>43109.6406712963</v>
      </c>
    </row>
    <row r="58" spans="1:44" x14ac:dyDescent="0.25">
      <c r="A58">
        <v>1090</v>
      </c>
      <c r="B58" t="s">
        <v>166</v>
      </c>
      <c r="C58" t="s">
        <v>1161</v>
      </c>
      <c r="D58" t="s">
        <v>1162</v>
      </c>
      <c r="E58" t="s">
        <v>365</v>
      </c>
      <c r="F58" t="s">
        <v>153</v>
      </c>
      <c r="G58" t="s">
        <v>24</v>
      </c>
      <c r="H58" t="s">
        <v>21</v>
      </c>
      <c r="I58" t="s">
        <v>16</v>
      </c>
      <c r="J58" t="s">
        <v>27</v>
      </c>
      <c r="K58" t="s">
        <v>33</v>
      </c>
      <c r="L58" t="s">
        <v>354</v>
      </c>
      <c r="M58" t="s">
        <v>1158</v>
      </c>
      <c r="N58" t="s">
        <v>22</v>
      </c>
      <c r="O58" t="s">
        <v>133</v>
      </c>
      <c r="P58">
        <v>68</v>
      </c>
      <c r="Q58" t="s">
        <v>727</v>
      </c>
      <c r="R58" t="s">
        <v>17</v>
      </c>
      <c r="S58" t="str">
        <f t="shared" si="2"/>
        <v>TBD-1090</v>
      </c>
      <c r="AO58" s="40"/>
      <c r="AP58" s="40"/>
      <c r="AQ58" s="41">
        <v>46062</v>
      </c>
      <c r="AR58" s="40">
        <v>43109.646296296298</v>
      </c>
    </row>
    <row r="59" spans="1:44" x14ac:dyDescent="0.25">
      <c r="A59">
        <v>1091</v>
      </c>
      <c r="B59" t="s">
        <v>166</v>
      </c>
      <c r="C59" t="s">
        <v>1163</v>
      </c>
      <c r="D59" t="s">
        <v>1164</v>
      </c>
      <c r="E59" t="s">
        <v>366</v>
      </c>
      <c r="F59" t="s">
        <v>153</v>
      </c>
      <c r="G59" t="s">
        <v>24</v>
      </c>
      <c r="H59" t="s">
        <v>21</v>
      </c>
      <c r="I59" t="s">
        <v>16</v>
      </c>
      <c r="J59" t="s">
        <v>27</v>
      </c>
      <c r="K59" t="s">
        <v>33</v>
      </c>
      <c r="L59" t="s">
        <v>367</v>
      </c>
      <c r="M59" t="s">
        <v>1158</v>
      </c>
      <c r="N59" t="s">
        <v>22</v>
      </c>
      <c r="O59" t="s">
        <v>133</v>
      </c>
      <c r="P59">
        <v>178</v>
      </c>
      <c r="Q59" t="s">
        <v>727</v>
      </c>
      <c r="R59" t="s">
        <v>17</v>
      </c>
      <c r="S59" t="str">
        <f t="shared" si="2"/>
        <v>TBD-1091</v>
      </c>
      <c r="AO59" s="40"/>
      <c r="AP59" s="40"/>
      <c r="AQ59" s="41">
        <v>46062</v>
      </c>
      <c r="AR59" s="40">
        <v>43112.524409722224</v>
      </c>
    </row>
    <row r="60" spans="1:44" x14ac:dyDescent="0.25">
      <c r="A60">
        <v>1092</v>
      </c>
      <c r="B60" t="s">
        <v>166</v>
      </c>
      <c r="C60" t="s">
        <v>368</v>
      </c>
      <c r="D60" t="s">
        <v>369</v>
      </c>
      <c r="E60" t="s">
        <v>370</v>
      </c>
      <c r="F60" t="s">
        <v>153</v>
      </c>
      <c r="G60" t="s">
        <v>24</v>
      </c>
      <c r="H60" t="s">
        <v>21</v>
      </c>
      <c r="I60" t="s">
        <v>16</v>
      </c>
      <c r="J60" t="s">
        <v>30</v>
      </c>
      <c r="K60" t="s">
        <v>33</v>
      </c>
      <c r="L60" t="s">
        <v>371</v>
      </c>
      <c r="M60" t="s">
        <v>372</v>
      </c>
      <c r="N60" t="s">
        <v>22</v>
      </c>
      <c r="O60" t="s">
        <v>133</v>
      </c>
      <c r="P60">
        <v>4</v>
      </c>
      <c r="Q60" t="s">
        <v>585</v>
      </c>
      <c r="R60" t="s">
        <v>17</v>
      </c>
      <c r="S60" t="str">
        <f t="shared" si="2"/>
        <v>TBD-1092</v>
      </c>
      <c r="AO60" s="40">
        <v>45296.585428240738</v>
      </c>
      <c r="AP60" s="40"/>
      <c r="AQ60" s="41">
        <v>45328</v>
      </c>
      <c r="AR60" s="40">
        <v>43109.693969907406</v>
      </c>
    </row>
    <row r="61" spans="1:44" x14ac:dyDescent="0.25">
      <c r="A61">
        <v>1118</v>
      </c>
      <c r="B61" t="s">
        <v>65</v>
      </c>
      <c r="C61" t="s">
        <v>379</v>
      </c>
      <c r="D61" t="s">
        <v>706</v>
      </c>
      <c r="E61" t="s">
        <v>317</v>
      </c>
      <c r="F61" t="s">
        <v>153</v>
      </c>
      <c r="G61" t="s">
        <v>24</v>
      </c>
      <c r="H61" t="s">
        <v>21</v>
      </c>
      <c r="I61" t="s">
        <v>16</v>
      </c>
      <c r="J61" t="s">
        <v>30</v>
      </c>
      <c r="K61" t="s">
        <v>33</v>
      </c>
      <c r="L61" t="s">
        <v>380</v>
      </c>
      <c r="M61" t="s">
        <v>22</v>
      </c>
      <c r="N61" t="s">
        <v>22</v>
      </c>
      <c r="O61" t="s">
        <v>150</v>
      </c>
      <c r="P61" t="s">
        <v>22</v>
      </c>
      <c r="Q61" t="s">
        <v>730</v>
      </c>
      <c r="R61" t="s">
        <v>17</v>
      </c>
      <c r="S61" t="str">
        <f t="shared" si="2"/>
        <v>TBD-1118</v>
      </c>
      <c r="AO61" s="40">
        <v>45309.330324074072</v>
      </c>
      <c r="AP61" s="40"/>
      <c r="AQ61" s="41">
        <v>45324</v>
      </c>
      <c r="AR61" s="40">
        <v>43846.470810185187</v>
      </c>
    </row>
    <row r="62" spans="1:44" x14ac:dyDescent="0.25">
      <c r="A62">
        <v>1129</v>
      </c>
      <c r="B62" t="s">
        <v>166</v>
      </c>
      <c r="C62" t="s">
        <v>1165</v>
      </c>
      <c r="D62" t="s">
        <v>1166</v>
      </c>
      <c r="E62" t="s">
        <v>272</v>
      </c>
      <c r="F62" t="s">
        <v>153</v>
      </c>
      <c r="G62" t="s">
        <v>24</v>
      </c>
      <c r="H62" t="s">
        <v>21</v>
      </c>
      <c r="I62" t="s">
        <v>19</v>
      </c>
      <c r="J62" t="s">
        <v>27</v>
      </c>
      <c r="K62" t="s">
        <v>728</v>
      </c>
      <c r="L62" t="s">
        <v>386</v>
      </c>
      <c r="M62" t="s">
        <v>388</v>
      </c>
      <c r="N62">
        <v>2024</v>
      </c>
      <c r="O62" t="s">
        <v>133</v>
      </c>
      <c r="P62" t="s">
        <v>729</v>
      </c>
      <c r="Q62" t="s">
        <v>727</v>
      </c>
      <c r="R62" t="s">
        <v>17</v>
      </c>
      <c r="S62" t="str">
        <f t="shared" ref="S62:S84" si="3">N62&amp;"-"&amp;A62</f>
        <v>2024-1129</v>
      </c>
      <c r="AO62" s="40"/>
      <c r="AP62" s="40"/>
      <c r="AQ62" s="41">
        <v>46062</v>
      </c>
      <c r="AR62" s="40">
        <v>43833.541909722226</v>
      </c>
    </row>
    <row r="63" spans="1:44" x14ac:dyDescent="0.25">
      <c r="A63">
        <v>1130</v>
      </c>
      <c r="B63" t="s">
        <v>166</v>
      </c>
      <c r="C63" t="s">
        <v>1167</v>
      </c>
      <c r="D63" t="s">
        <v>1168</v>
      </c>
      <c r="E63" t="s">
        <v>272</v>
      </c>
      <c r="F63" t="s">
        <v>153</v>
      </c>
      <c r="G63" t="s">
        <v>24</v>
      </c>
      <c r="H63" t="s">
        <v>21</v>
      </c>
      <c r="I63" t="s">
        <v>19</v>
      </c>
      <c r="J63" t="s">
        <v>27</v>
      </c>
      <c r="K63" t="s">
        <v>728</v>
      </c>
      <c r="L63" t="s">
        <v>386</v>
      </c>
      <c r="M63" t="s">
        <v>387</v>
      </c>
      <c r="N63">
        <v>2024</v>
      </c>
      <c r="O63" t="s">
        <v>133</v>
      </c>
      <c r="P63" t="s">
        <v>729</v>
      </c>
      <c r="Q63" t="s">
        <v>585</v>
      </c>
      <c r="R63" t="s">
        <v>17</v>
      </c>
      <c r="S63" t="str">
        <f t="shared" si="3"/>
        <v>2024-1130</v>
      </c>
      <c r="AO63" s="40"/>
      <c r="AP63" s="40"/>
      <c r="AQ63" s="41">
        <v>46062</v>
      </c>
      <c r="AR63" s="40">
        <v>43833.54582175926</v>
      </c>
    </row>
    <row r="64" spans="1:44" x14ac:dyDescent="0.25">
      <c r="A64">
        <v>1131</v>
      </c>
      <c r="B64" t="s">
        <v>166</v>
      </c>
      <c r="C64" t="s">
        <v>1169</v>
      </c>
      <c r="D64" t="s">
        <v>1170</v>
      </c>
      <c r="E64" t="s">
        <v>1171</v>
      </c>
      <c r="F64" t="s">
        <v>153</v>
      </c>
      <c r="G64" t="s">
        <v>24</v>
      </c>
      <c r="H64" t="s">
        <v>21</v>
      </c>
      <c r="I64" t="s">
        <v>19</v>
      </c>
      <c r="J64" t="s">
        <v>27</v>
      </c>
      <c r="K64" t="s">
        <v>728</v>
      </c>
      <c r="L64" t="s">
        <v>385</v>
      </c>
      <c r="M64" t="s">
        <v>1172</v>
      </c>
      <c r="N64">
        <v>2024</v>
      </c>
      <c r="O64" t="s">
        <v>133</v>
      </c>
      <c r="P64" t="s">
        <v>729</v>
      </c>
      <c r="Q64" t="s">
        <v>727</v>
      </c>
      <c r="R64" t="s">
        <v>17</v>
      </c>
      <c r="S64" t="str">
        <f t="shared" si="3"/>
        <v>2024-1131</v>
      </c>
      <c r="AO64" s="40"/>
      <c r="AP64" s="40"/>
      <c r="AQ64" s="41">
        <v>46062</v>
      </c>
      <c r="AR64" s="40">
        <v>43833.561296296299</v>
      </c>
    </row>
    <row r="65" spans="1:44" x14ac:dyDescent="0.25">
      <c r="A65">
        <v>1132</v>
      </c>
      <c r="B65" t="s">
        <v>166</v>
      </c>
      <c r="C65" t="s">
        <v>1173</v>
      </c>
      <c r="D65" t="s">
        <v>389</v>
      </c>
      <c r="E65" t="s">
        <v>390</v>
      </c>
      <c r="F65" t="s">
        <v>153</v>
      </c>
      <c r="G65" t="s">
        <v>24</v>
      </c>
      <c r="H65" t="s">
        <v>21</v>
      </c>
      <c r="I65" t="s">
        <v>19</v>
      </c>
      <c r="J65" t="s">
        <v>27</v>
      </c>
      <c r="K65" t="s">
        <v>18</v>
      </c>
      <c r="L65" t="s">
        <v>391</v>
      </c>
      <c r="M65" t="s">
        <v>388</v>
      </c>
      <c r="N65">
        <v>2027</v>
      </c>
      <c r="O65" t="s">
        <v>133</v>
      </c>
      <c r="P65" t="s">
        <v>729</v>
      </c>
      <c r="Q65" t="s">
        <v>727</v>
      </c>
      <c r="R65" t="s">
        <v>17</v>
      </c>
      <c r="S65" t="str">
        <f t="shared" si="3"/>
        <v>2027-1132</v>
      </c>
      <c r="AO65" s="40"/>
      <c r="AP65" s="40"/>
      <c r="AQ65" s="41">
        <v>46062</v>
      </c>
      <c r="AR65" s="40">
        <v>43833.565115740741</v>
      </c>
    </row>
    <row r="66" spans="1:44" x14ac:dyDescent="0.25">
      <c r="A66">
        <v>1136</v>
      </c>
      <c r="B66" t="s">
        <v>166</v>
      </c>
      <c r="C66" t="s">
        <v>1174</v>
      </c>
      <c r="D66" t="s">
        <v>393</v>
      </c>
      <c r="E66" t="s">
        <v>273</v>
      </c>
      <c r="F66" t="s">
        <v>153</v>
      </c>
      <c r="G66" t="s">
        <v>24</v>
      </c>
      <c r="H66" t="s">
        <v>21</v>
      </c>
      <c r="I66" t="s">
        <v>19</v>
      </c>
      <c r="J66" t="s">
        <v>14</v>
      </c>
      <c r="K66" t="s">
        <v>165</v>
      </c>
      <c r="L66" t="s">
        <v>394</v>
      </c>
      <c r="M66" t="s">
        <v>21</v>
      </c>
      <c r="N66">
        <v>2026</v>
      </c>
      <c r="O66" t="s">
        <v>133</v>
      </c>
      <c r="P66" t="s">
        <v>729</v>
      </c>
      <c r="Q66" t="s">
        <v>727</v>
      </c>
      <c r="R66" t="s">
        <v>17</v>
      </c>
      <c r="S66" t="str">
        <f t="shared" si="3"/>
        <v>2026-1136</v>
      </c>
      <c r="AO66" s="40"/>
      <c r="AP66" s="40"/>
      <c r="AQ66" s="41">
        <v>46062</v>
      </c>
      <c r="AR66" s="40">
        <v>43833.585381944446</v>
      </c>
    </row>
    <row r="67" spans="1:44" x14ac:dyDescent="0.25">
      <c r="A67">
        <v>1137</v>
      </c>
      <c r="B67" t="s">
        <v>166</v>
      </c>
      <c r="C67" t="s">
        <v>395</v>
      </c>
      <c r="D67" t="s">
        <v>396</v>
      </c>
      <c r="E67" t="s">
        <v>397</v>
      </c>
      <c r="F67" t="s">
        <v>153</v>
      </c>
      <c r="G67" t="s">
        <v>24</v>
      </c>
      <c r="H67" t="s">
        <v>21</v>
      </c>
      <c r="I67" t="s">
        <v>16</v>
      </c>
      <c r="J67" t="s">
        <v>14</v>
      </c>
      <c r="K67" t="s">
        <v>728</v>
      </c>
      <c r="L67" t="s">
        <v>1116</v>
      </c>
      <c r="M67" t="s">
        <v>1177</v>
      </c>
      <c r="N67">
        <v>2024</v>
      </c>
      <c r="O67" t="s">
        <v>133</v>
      </c>
      <c r="P67">
        <v>8</v>
      </c>
      <c r="Q67" t="s">
        <v>727</v>
      </c>
      <c r="R67" t="s">
        <v>17</v>
      </c>
      <c r="S67" t="str">
        <f t="shared" si="3"/>
        <v>2024-1137</v>
      </c>
      <c r="AO67" s="40"/>
      <c r="AP67" s="40"/>
      <c r="AQ67" s="41">
        <v>46062</v>
      </c>
      <c r="AR67" s="40">
        <v>43833.595775462964</v>
      </c>
    </row>
    <row r="68" spans="1:44" x14ac:dyDescent="0.25">
      <c r="A68">
        <v>1140</v>
      </c>
      <c r="B68" t="s">
        <v>166</v>
      </c>
      <c r="C68" t="s">
        <v>1175</v>
      </c>
      <c r="D68" t="s">
        <v>398</v>
      </c>
      <c r="E68" t="s">
        <v>75</v>
      </c>
      <c r="F68" t="s">
        <v>623</v>
      </c>
      <c r="G68" t="s">
        <v>24</v>
      </c>
      <c r="H68" t="s">
        <v>21</v>
      </c>
      <c r="I68" t="s">
        <v>19</v>
      </c>
      <c r="J68" t="s">
        <v>14</v>
      </c>
      <c r="K68" t="s">
        <v>18</v>
      </c>
      <c r="L68" t="s">
        <v>1176</v>
      </c>
      <c r="M68" t="s">
        <v>1177</v>
      </c>
      <c r="N68">
        <v>2033</v>
      </c>
      <c r="O68" t="s">
        <v>133</v>
      </c>
      <c r="P68" t="s">
        <v>729</v>
      </c>
      <c r="Q68" t="s">
        <v>727</v>
      </c>
      <c r="R68" t="s">
        <v>17</v>
      </c>
      <c r="S68" t="str">
        <f t="shared" si="3"/>
        <v>2033-1140</v>
      </c>
      <c r="AO68" s="40"/>
      <c r="AP68" s="40"/>
      <c r="AQ68" s="41">
        <v>46062</v>
      </c>
      <c r="AR68" s="40">
        <v>43836.40996527778</v>
      </c>
    </row>
    <row r="69" spans="1:44" x14ac:dyDescent="0.25">
      <c r="A69">
        <v>1141</v>
      </c>
      <c r="B69" t="s">
        <v>166</v>
      </c>
      <c r="C69" t="s">
        <v>636</v>
      </c>
      <c r="D69" t="s">
        <v>637</v>
      </c>
      <c r="E69" t="s">
        <v>75</v>
      </c>
      <c r="F69" t="s">
        <v>623</v>
      </c>
      <c r="G69" t="s">
        <v>24</v>
      </c>
      <c r="H69" t="s">
        <v>21</v>
      </c>
      <c r="I69" t="s">
        <v>19</v>
      </c>
      <c r="J69" t="s">
        <v>14</v>
      </c>
      <c r="K69" t="s">
        <v>33</v>
      </c>
      <c r="L69" t="s">
        <v>392</v>
      </c>
      <c r="M69" t="s">
        <v>638</v>
      </c>
      <c r="N69" t="s">
        <v>22</v>
      </c>
      <c r="O69" t="s">
        <v>133</v>
      </c>
      <c r="P69" t="s">
        <v>729</v>
      </c>
      <c r="Q69" t="s">
        <v>727</v>
      </c>
      <c r="R69" t="s">
        <v>17</v>
      </c>
      <c r="S69" t="str">
        <f t="shared" si="3"/>
        <v>TBD-1141</v>
      </c>
      <c r="AO69" s="40">
        <v>45296.602303240739</v>
      </c>
      <c r="AP69" s="40"/>
      <c r="AQ69" s="41">
        <v>45328</v>
      </c>
      <c r="AR69" s="40">
        <v>43836.414490740739</v>
      </c>
    </row>
    <row r="70" spans="1:44" x14ac:dyDescent="0.25">
      <c r="A70">
        <v>1142</v>
      </c>
      <c r="B70" t="s">
        <v>166</v>
      </c>
      <c r="C70" t="s">
        <v>1178</v>
      </c>
      <c r="D70" t="s">
        <v>944</v>
      </c>
      <c r="E70" t="s">
        <v>75</v>
      </c>
      <c r="F70" t="s">
        <v>623</v>
      </c>
      <c r="G70" t="s">
        <v>24</v>
      </c>
      <c r="H70" t="s">
        <v>21</v>
      </c>
      <c r="I70" t="s">
        <v>19</v>
      </c>
      <c r="J70" t="s">
        <v>14</v>
      </c>
      <c r="K70" t="s">
        <v>18</v>
      </c>
      <c r="L70" t="s">
        <v>1179</v>
      </c>
      <c r="M70" t="s">
        <v>1145</v>
      </c>
      <c r="N70">
        <v>2027</v>
      </c>
      <c r="O70" t="s">
        <v>133</v>
      </c>
      <c r="P70" t="s">
        <v>729</v>
      </c>
      <c r="Q70" t="s">
        <v>727</v>
      </c>
      <c r="R70" t="s">
        <v>17</v>
      </c>
      <c r="S70" t="str">
        <f t="shared" si="3"/>
        <v>2027-1142</v>
      </c>
      <c r="AO70" s="40"/>
      <c r="AP70" s="40"/>
      <c r="AQ70" s="41">
        <v>46062</v>
      </c>
      <c r="AR70" s="40">
        <v>43843.386435185188</v>
      </c>
    </row>
    <row r="71" spans="1:44" x14ac:dyDescent="0.25">
      <c r="A71">
        <v>1143</v>
      </c>
      <c r="B71" t="s">
        <v>166</v>
      </c>
      <c r="C71" t="s">
        <v>399</v>
      </c>
      <c r="D71" t="s">
        <v>714</v>
      </c>
      <c r="E71" t="s">
        <v>400</v>
      </c>
      <c r="F71" t="s">
        <v>153</v>
      </c>
      <c r="G71" t="s">
        <v>24</v>
      </c>
      <c r="H71" t="s">
        <v>21</v>
      </c>
      <c r="I71" t="s">
        <v>19</v>
      </c>
      <c r="J71" t="s">
        <v>14</v>
      </c>
      <c r="K71" t="s">
        <v>33</v>
      </c>
      <c r="L71" t="s">
        <v>1180</v>
      </c>
      <c r="M71" t="s">
        <v>1180</v>
      </c>
      <c r="N71" t="s">
        <v>22</v>
      </c>
      <c r="O71" t="s">
        <v>133</v>
      </c>
      <c r="P71" t="s">
        <v>729</v>
      </c>
      <c r="Q71" t="s">
        <v>727</v>
      </c>
      <c r="R71" t="s">
        <v>17</v>
      </c>
      <c r="S71" t="str">
        <f t="shared" si="3"/>
        <v>TBD-1143</v>
      </c>
      <c r="AO71" s="40"/>
      <c r="AP71" s="40"/>
      <c r="AQ71" s="41">
        <v>46062</v>
      </c>
      <c r="AR71" s="40">
        <v>43836.43141203704</v>
      </c>
    </row>
    <row r="72" spans="1:44" x14ac:dyDescent="0.25">
      <c r="A72">
        <v>1144</v>
      </c>
      <c r="B72" t="s">
        <v>166</v>
      </c>
      <c r="C72" t="s">
        <v>401</v>
      </c>
      <c r="D72" t="s">
        <v>1181</v>
      </c>
      <c r="E72" t="s">
        <v>716</v>
      </c>
      <c r="F72" t="s">
        <v>153</v>
      </c>
      <c r="G72" t="s">
        <v>24</v>
      </c>
      <c r="H72" t="s">
        <v>21</v>
      </c>
      <c r="I72" t="s">
        <v>19</v>
      </c>
      <c r="J72" t="s">
        <v>27</v>
      </c>
      <c r="K72" t="s">
        <v>18</v>
      </c>
      <c r="L72" t="s">
        <v>1182</v>
      </c>
      <c r="M72" t="s">
        <v>1182</v>
      </c>
      <c r="N72">
        <v>2026</v>
      </c>
      <c r="O72" t="s">
        <v>133</v>
      </c>
      <c r="P72" t="s">
        <v>729</v>
      </c>
      <c r="Q72" t="s">
        <v>727</v>
      </c>
      <c r="R72" t="s">
        <v>17</v>
      </c>
      <c r="S72" t="str">
        <f t="shared" si="3"/>
        <v>2026-1144</v>
      </c>
      <c r="AO72" s="40"/>
      <c r="AP72" s="40"/>
      <c r="AQ72" s="41">
        <v>46062</v>
      </c>
      <c r="AR72" s="40">
        <v>43839.55363425926</v>
      </c>
    </row>
    <row r="73" spans="1:44" x14ac:dyDescent="0.25">
      <c r="A73">
        <v>1146</v>
      </c>
      <c r="B73" t="s">
        <v>166</v>
      </c>
      <c r="C73" t="s">
        <v>1183</v>
      </c>
      <c r="D73" t="s">
        <v>402</v>
      </c>
      <c r="E73" t="s">
        <v>1184</v>
      </c>
      <c r="F73" t="s">
        <v>153</v>
      </c>
      <c r="G73" t="s">
        <v>24</v>
      </c>
      <c r="H73" t="s">
        <v>21</v>
      </c>
      <c r="I73" t="s">
        <v>16</v>
      </c>
      <c r="J73" t="s">
        <v>14</v>
      </c>
      <c r="K73" t="s">
        <v>33</v>
      </c>
      <c r="L73" t="s">
        <v>403</v>
      </c>
      <c r="M73" t="s">
        <v>404</v>
      </c>
      <c r="N73" t="s">
        <v>22</v>
      </c>
      <c r="O73" t="s">
        <v>133</v>
      </c>
      <c r="P73">
        <v>14</v>
      </c>
      <c r="Q73" t="s">
        <v>727</v>
      </c>
      <c r="R73" t="s">
        <v>17</v>
      </c>
      <c r="S73" t="str">
        <f t="shared" si="3"/>
        <v>TBD-1146</v>
      </c>
      <c r="AO73" s="40"/>
      <c r="AP73" s="40"/>
      <c r="AQ73" s="41">
        <v>46062</v>
      </c>
      <c r="AR73" s="40">
        <v>43843.444421296299</v>
      </c>
    </row>
    <row r="74" spans="1:44" x14ac:dyDescent="0.25">
      <c r="A74">
        <v>1147</v>
      </c>
      <c r="B74" t="s">
        <v>166</v>
      </c>
      <c r="C74" t="s">
        <v>1185</v>
      </c>
      <c r="D74" t="s">
        <v>1186</v>
      </c>
      <c r="E74" t="s">
        <v>1184</v>
      </c>
      <c r="F74" t="s">
        <v>153</v>
      </c>
      <c r="G74" t="s">
        <v>24</v>
      </c>
      <c r="H74" t="s">
        <v>21</v>
      </c>
      <c r="I74" t="s">
        <v>16</v>
      </c>
      <c r="J74" t="s">
        <v>14</v>
      </c>
      <c r="K74" t="s">
        <v>33</v>
      </c>
      <c r="L74" t="s">
        <v>404</v>
      </c>
      <c r="M74" t="s">
        <v>405</v>
      </c>
      <c r="N74" t="s">
        <v>22</v>
      </c>
      <c r="O74" t="s">
        <v>133</v>
      </c>
      <c r="P74">
        <v>4</v>
      </c>
      <c r="Q74" t="s">
        <v>727</v>
      </c>
      <c r="R74" t="s">
        <v>17</v>
      </c>
      <c r="S74" t="str">
        <f t="shared" si="3"/>
        <v>TBD-1147</v>
      </c>
      <c r="AO74" s="40"/>
      <c r="AP74" s="40"/>
      <c r="AQ74" s="41">
        <v>46062</v>
      </c>
      <c r="AR74" s="40">
        <v>43843.444606481484</v>
      </c>
    </row>
    <row r="75" spans="1:44" x14ac:dyDescent="0.25">
      <c r="A75">
        <v>1148</v>
      </c>
      <c r="B75" t="s">
        <v>166</v>
      </c>
      <c r="C75" t="s">
        <v>639</v>
      </c>
      <c r="D75" t="s">
        <v>640</v>
      </c>
      <c r="E75" t="s">
        <v>641</v>
      </c>
      <c r="F75" t="s">
        <v>631</v>
      </c>
      <c r="G75" t="s">
        <v>24</v>
      </c>
      <c r="H75" t="s">
        <v>21</v>
      </c>
      <c r="I75" t="s">
        <v>19</v>
      </c>
      <c r="J75" t="s">
        <v>14</v>
      </c>
      <c r="K75" t="s">
        <v>18</v>
      </c>
      <c r="L75" t="s">
        <v>642</v>
      </c>
      <c r="M75" t="s">
        <v>642</v>
      </c>
      <c r="N75">
        <v>2027</v>
      </c>
      <c r="O75" t="s">
        <v>133</v>
      </c>
      <c r="P75" t="s">
        <v>729</v>
      </c>
      <c r="Q75" t="s">
        <v>727</v>
      </c>
      <c r="R75" t="s">
        <v>17</v>
      </c>
      <c r="S75" t="str">
        <f t="shared" si="3"/>
        <v>2027-1148</v>
      </c>
      <c r="AO75" s="40">
        <v>45296.607800925929</v>
      </c>
      <c r="AP75" s="40"/>
      <c r="AQ75" s="41">
        <v>45328</v>
      </c>
      <c r="AR75" s="40">
        <v>43843.444803240738</v>
      </c>
    </row>
    <row r="76" spans="1:44" x14ac:dyDescent="0.25">
      <c r="A76">
        <v>1194</v>
      </c>
      <c r="B76" t="s">
        <v>36</v>
      </c>
      <c r="C76" t="s">
        <v>410</v>
      </c>
      <c r="D76" t="s">
        <v>701</v>
      </c>
      <c r="E76" t="s">
        <v>411</v>
      </c>
      <c r="F76" t="s">
        <v>153</v>
      </c>
      <c r="G76" t="s">
        <v>24</v>
      </c>
      <c r="H76" t="s">
        <v>21</v>
      </c>
      <c r="I76" t="s">
        <v>16</v>
      </c>
      <c r="J76" t="s">
        <v>30</v>
      </c>
      <c r="K76" t="s">
        <v>33</v>
      </c>
      <c r="L76" t="s">
        <v>1083</v>
      </c>
      <c r="M76" t="s">
        <v>412</v>
      </c>
      <c r="N76" t="s">
        <v>22</v>
      </c>
      <c r="O76" t="s">
        <v>133</v>
      </c>
      <c r="P76">
        <v>1</v>
      </c>
      <c r="Q76" t="s">
        <v>727</v>
      </c>
      <c r="R76" t="s">
        <v>17</v>
      </c>
      <c r="S76" t="str">
        <f t="shared" si="3"/>
        <v>TBD-1194</v>
      </c>
      <c r="AO76" s="40">
        <v>45321.475405092591</v>
      </c>
      <c r="AP76" s="40"/>
      <c r="AQ76" s="41">
        <v>45334</v>
      </c>
      <c r="AR76" s="40">
        <v>43858.39675925926</v>
      </c>
    </row>
    <row r="77" spans="1:44" x14ac:dyDescent="0.25">
      <c r="A77">
        <v>1195</v>
      </c>
      <c r="B77" t="s">
        <v>36</v>
      </c>
      <c r="C77" t="s">
        <v>413</v>
      </c>
      <c r="D77" t="s">
        <v>702</v>
      </c>
      <c r="E77" t="s">
        <v>414</v>
      </c>
      <c r="F77" t="s">
        <v>153</v>
      </c>
      <c r="G77" t="s">
        <v>24</v>
      </c>
      <c r="H77" t="s">
        <v>21</v>
      </c>
      <c r="I77" t="s">
        <v>19</v>
      </c>
      <c r="J77" t="s">
        <v>25</v>
      </c>
      <c r="K77" t="s">
        <v>18</v>
      </c>
      <c r="L77" t="s">
        <v>1084</v>
      </c>
      <c r="M77" t="s">
        <v>415</v>
      </c>
      <c r="N77">
        <v>2031</v>
      </c>
      <c r="O77" t="s">
        <v>133</v>
      </c>
      <c r="P77">
        <v>1</v>
      </c>
      <c r="Q77" t="s">
        <v>727</v>
      </c>
      <c r="R77" t="s">
        <v>17</v>
      </c>
      <c r="S77" t="str">
        <f t="shared" si="3"/>
        <v>2031-1195</v>
      </c>
      <c r="AO77" s="40"/>
      <c r="AP77" s="40"/>
      <c r="AQ77" s="41">
        <v>46057</v>
      </c>
      <c r="AR77" s="40">
        <v>43858.396898148145</v>
      </c>
    </row>
    <row r="78" spans="1:44" x14ac:dyDescent="0.25">
      <c r="A78">
        <v>1197</v>
      </c>
      <c r="B78" t="s">
        <v>36</v>
      </c>
      <c r="C78" t="s">
        <v>667</v>
      </c>
      <c r="D78" t="s">
        <v>417</v>
      </c>
      <c r="E78" t="s">
        <v>418</v>
      </c>
      <c r="F78" t="s">
        <v>153</v>
      </c>
      <c r="G78" t="s">
        <v>24</v>
      </c>
      <c r="H78" t="s">
        <v>21</v>
      </c>
      <c r="I78" t="s">
        <v>16</v>
      </c>
      <c r="J78" t="s">
        <v>30</v>
      </c>
      <c r="K78" t="s">
        <v>728</v>
      </c>
      <c r="L78" t="s">
        <v>419</v>
      </c>
      <c r="M78" t="s">
        <v>420</v>
      </c>
      <c r="N78">
        <v>2024</v>
      </c>
      <c r="O78" t="s">
        <v>133</v>
      </c>
      <c r="P78">
        <v>8</v>
      </c>
      <c r="Q78" t="s">
        <v>727</v>
      </c>
      <c r="R78" t="s">
        <v>17</v>
      </c>
      <c r="S78" t="str">
        <f t="shared" si="3"/>
        <v>2024-1197</v>
      </c>
      <c r="AO78" s="40"/>
      <c r="AP78" s="40"/>
      <c r="AQ78" s="41">
        <v>46057</v>
      </c>
      <c r="AR78" s="40">
        <v>43858.397430555553</v>
      </c>
    </row>
    <row r="79" spans="1:44" x14ac:dyDescent="0.25">
      <c r="A79">
        <v>1199</v>
      </c>
      <c r="B79" t="s">
        <v>36</v>
      </c>
      <c r="C79" t="s">
        <v>1085</v>
      </c>
      <c r="D79" t="s">
        <v>1086</v>
      </c>
      <c r="E79" t="s">
        <v>1087</v>
      </c>
      <c r="F79" t="s">
        <v>153</v>
      </c>
      <c r="G79" t="s">
        <v>24</v>
      </c>
      <c r="H79" t="s">
        <v>21</v>
      </c>
      <c r="I79" t="s">
        <v>16</v>
      </c>
      <c r="J79" t="s">
        <v>30</v>
      </c>
      <c r="K79" t="s">
        <v>728</v>
      </c>
      <c r="L79" t="s">
        <v>421</v>
      </c>
      <c r="M79" t="s">
        <v>1088</v>
      </c>
      <c r="N79">
        <v>2024</v>
      </c>
      <c r="O79" t="s">
        <v>133</v>
      </c>
      <c r="P79">
        <v>1</v>
      </c>
      <c r="Q79" t="s">
        <v>727</v>
      </c>
      <c r="R79" t="s">
        <v>17</v>
      </c>
      <c r="S79" t="str">
        <f t="shared" si="3"/>
        <v>2024-1199</v>
      </c>
      <c r="AO79" s="40"/>
      <c r="AP79" s="40"/>
      <c r="AQ79" s="41">
        <v>46057</v>
      </c>
      <c r="AR79" s="40">
        <v>43858.397731481484</v>
      </c>
    </row>
    <row r="80" spans="1:44" x14ac:dyDescent="0.25">
      <c r="A80">
        <v>1200</v>
      </c>
      <c r="B80" t="s">
        <v>36</v>
      </c>
      <c r="C80" t="s">
        <v>422</v>
      </c>
      <c r="D80" t="s">
        <v>1089</v>
      </c>
      <c r="E80" t="s">
        <v>1090</v>
      </c>
      <c r="F80" t="s">
        <v>984</v>
      </c>
      <c r="G80" t="s">
        <v>24</v>
      </c>
      <c r="H80" t="s">
        <v>21</v>
      </c>
      <c r="I80" t="s">
        <v>16</v>
      </c>
      <c r="J80" t="s">
        <v>30</v>
      </c>
      <c r="K80" t="s">
        <v>728</v>
      </c>
      <c r="L80" t="s">
        <v>423</v>
      </c>
      <c r="M80" t="s">
        <v>1088</v>
      </c>
      <c r="N80">
        <v>2025</v>
      </c>
      <c r="O80" t="s">
        <v>133</v>
      </c>
      <c r="P80">
        <v>9</v>
      </c>
      <c r="Q80" t="s">
        <v>727</v>
      </c>
      <c r="R80" t="s">
        <v>17</v>
      </c>
      <c r="S80" t="str">
        <f t="shared" si="3"/>
        <v>2025-1200</v>
      </c>
      <c r="AO80" s="40"/>
      <c r="AP80" s="40"/>
      <c r="AQ80" s="41">
        <v>46057</v>
      </c>
      <c r="AR80" s="40">
        <v>43858.397893518515</v>
      </c>
    </row>
    <row r="81" spans="1:44" x14ac:dyDescent="0.25">
      <c r="A81">
        <v>1201</v>
      </c>
      <c r="B81" t="s">
        <v>36</v>
      </c>
      <c r="C81" t="s">
        <v>695</v>
      </c>
      <c r="D81" t="s">
        <v>1091</v>
      </c>
      <c r="E81" t="s">
        <v>1092</v>
      </c>
      <c r="F81" t="s">
        <v>153</v>
      </c>
      <c r="G81" t="s">
        <v>24</v>
      </c>
      <c r="H81" t="s">
        <v>21</v>
      </c>
      <c r="I81" t="s">
        <v>16</v>
      </c>
      <c r="J81" t="s">
        <v>30</v>
      </c>
      <c r="K81" t="s">
        <v>33</v>
      </c>
      <c r="L81" t="s">
        <v>424</v>
      </c>
      <c r="M81" t="s">
        <v>437</v>
      </c>
      <c r="N81" t="s">
        <v>22</v>
      </c>
      <c r="O81" t="s">
        <v>133</v>
      </c>
      <c r="P81">
        <v>1</v>
      </c>
      <c r="Q81" t="s">
        <v>727</v>
      </c>
      <c r="R81" t="s">
        <v>17</v>
      </c>
      <c r="S81" t="str">
        <f t="shared" si="3"/>
        <v>TBD-1201</v>
      </c>
      <c r="AO81" s="40">
        <v>45321.476307870369</v>
      </c>
      <c r="AP81" s="40"/>
      <c r="AQ81" s="41">
        <v>45334</v>
      </c>
      <c r="AR81" s="40">
        <v>43858.398032407407</v>
      </c>
    </row>
    <row r="82" spans="1:44" x14ac:dyDescent="0.25">
      <c r="A82">
        <v>1202</v>
      </c>
      <c r="B82" t="s">
        <v>36</v>
      </c>
      <c r="C82" t="s">
        <v>694</v>
      </c>
      <c r="D82" t="s">
        <v>1093</v>
      </c>
      <c r="E82" t="s">
        <v>1094</v>
      </c>
      <c r="F82" t="s">
        <v>984</v>
      </c>
      <c r="G82" t="s">
        <v>24</v>
      </c>
      <c r="H82" t="s">
        <v>21</v>
      </c>
      <c r="I82" t="s">
        <v>16</v>
      </c>
      <c r="J82" t="s">
        <v>30</v>
      </c>
      <c r="K82" t="s">
        <v>728</v>
      </c>
      <c r="L82" t="s">
        <v>1095</v>
      </c>
      <c r="M82" t="s">
        <v>425</v>
      </c>
      <c r="N82">
        <v>2025</v>
      </c>
      <c r="O82" t="s">
        <v>133</v>
      </c>
      <c r="P82">
        <v>1</v>
      </c>
      <c r="Q82" t="s">
        <v>727</v>
      </c>
      <c r="R82" t="s">
        <v>17</v>
      </c>
      <c r="S82" t="str">
        <f t="shared" si="3"/>
        <v>2025-1202</v>
      </c>
      <c r="AO82" s="40"/>
      <c r="AP82" s="40"/>
      <c r="AQ82" s="41">
        <v>46057</v>
      </c>
      <c r="AR82" s="40">
        <v>43858.398229166669</v>
      </c>
    </row>
    <row r="83" spans="1:44" x14ac:dyDescent="0.25">
      <c r="A83">
        <v>1204</v>
      </c>
      <c r="B83" t="s">
        <v>167</v>
      </c>
      <c r="C83" t="s">
        <v>573</v>
      </c>
      <c r="D83" t="s">
        <v>427</v>
      </c>
      <c r="E83" t="s">
        <v>428</v>
      </c>
      <c r="F83" t="s">
        <v>153</v>
      </c>
      <c r="G83" t="s">
        <v>24</v>
      </c>
      <c r="H83" t="s">
        <v>21</v>
      </c>
      <c r="I83" t="s">
        <v>19</v>
      </c>
      <c r="J83" t="s">
        <v>20</v>
      </c>
      <c r="K83" t="s">
        <v>33</v>
      </c>
      <c r="L83" t="s">
        <v>429</v>
      </c>
      <c r="M83" t="s">
        <v>429</v>
      </c>
      <c r="N83">
        <v>2029</v>
      </c>
      <c r="O83" t="s">
        <v>150</v>
      </c>
      <c r="P83" t="s">
        <v>729</v>
      </c>
      <c r="Q83" t="s">
        <v>730</v>
      </c>
      <c r="R83" t="s">
        <v>17</v>
      </c>
      <c r="S83" t="str">
        <f t="shared" si="3"/>
        <v>2029-1204</v>
      </c>
      <c r="AO83" s="40">
        <v>45324.604988425926</v>
      </c>
      <c r="AP83" s="40"/>
      <c r="AQ83" s="41">
        <v>45330</v>
      </c>
      <c r="AR83" s="40">
        <v>43857.647627314815</v>
      </c>
    </row>
    <row r="84" spans="1:44" x14ac:dyDescent="0.25">
      <c r="A84">
        <v>1231</v>
      </c>
      <c r="B84" t="s">
        <v>61</v>
      </c>
      <c r="C84" t="s">
        <v>440</v>
      </c>
      <c r="D84" t="s">
        <v>441</v>
      </c>
      <c r="E84" t="s">
        <v>442</v>
      </c>
      <c r="F84" t="s">
        <v>459</v>
      </c>
      <c r="G84" t="s">
        <v>17</v>
      </c>
      <c r="H84" t="s">
        <v>536</v>
      </c>
      <c r="I84" t="s">
        <v>19</v>
      </c>
      <c r="J84" t="s">
        <v>27</v>
      </c>
      <c r="K84" t="s">
        <v>33</v>
      </c>
      <c r="L84" t="s">
        <v>443</v>
      </c>
      <c r="M84" t="s">
        <v>443</v>
      </c>
      <c r="N84" t="s">
        <v>22</v>
      </c>
      <c r="O84" t="s">
        <v>133</v>
      </c>
      <c r="P84" t="s">
        <v>729</v>
      </c>
      <c r="Q84" t="s">
        <v>731</v>
      </c>
      <c r="R84" t="s">
        <v>17</v>
      </c>
      <c r="S84" t="str">
        <f t="shared" si="3"/>
        <v>TBD-1231</v>
      </c>
      <c r="AO84" s="40"/>
      <c r="AP84" s="40"/>
      <c r="AQ84" s="41">
        <v>46057</v>
      </c>
      <c r="AR84" s="40">
        <v>44122.487407407411</v>
      </c>
    </row>
    <row r="85" spans="1:44" x14ac:dyDescent="0.25">
      <c r="A85">
        <v>1235</v>
      </c>
      <c r="B85" t="s">
        <v>63</v>
      </c>
      <c r="C85" t="s">
        <v>680</v>
      </c>
      <c r="D85" t="s">
        <v>681</v>
      </c>
      <c r="E85" t="s">
        <v>406</v>
      </c>
      <c r="F85" t="s">
        <v>460</v>
      </c>
      <c r="G85" t="s">
        <v>17</v>
      </c>
      <c r="H85" t="s">
        <v>677</v>
      </c>
      <c r="I85" t="s">
        <v>19</v>
      </c>
      <c r="J85" t="s">
        <v>27</v>
      </c>
      <c r="K85" t="s">
        <v>728</v>
      </c>
      <c r="L85" t="s">
        <v>649</v>
      </c>
      <c r="M85" t="s">
        <v>649</v>
      </c>
      <c r="N85">
        <v>2025</v>
      </c>
      <c r="O85" t="s">
        <v>150</v>
      </c>
      <c r="P85" t="s">
        <v>729</v>
      </c>
      <c r="Q85" t="s">
        <v>730</v>
      </c>
      <c r="R85" t="s">
        <v>17</v>
      </c>
      <c r="S85" t="s">
        <v>1571</v>
      </c>
      <c r="AO85" s="40"/>
      <c r="AP85" s="40"/>
      <c r="AQ85" s="41">
        <v>46063</v>
      </c>
      <c r="AR85" s="40">
        <v>44122.694004629629</v>
      </c>
    </row>
    <row r="86" spans="1:44" x14ac:dyDescent="0.25">
      <c r="A86">
        <v>1236</v>
      </c>
      <c r="B86" t="s">
        <v>63</v>
      </c>
      <c r="C86" t="s">
        <v>682</v>
      </c>
      <c r="D86" t="s">
        <v>683</v>
      </c>
      <c r="E86" t="s">
        <v>406</v>
      </c>
      <c r="F86" t="s">
        <v>460</v>
      </c>
      <c r="G86" t="s">
        <v>17</v>
      </c>
      <c r="H86" t="s">
        <v>677</v>
      </c>
      <c r="I86" t="s">
        <v>19</v>
      </c>
      <c r="J86" t="s">
        <v>20</v>
      </c>
      <c r="K86" t="s">
        <v>165</v>
      </c>
      <c r="L86" t="s">
        <v>186</v>
      </c>
      <c r="M86" t="s">
        <v>186</v>
      </c>
      <c r="N86">
        <v>2025</v>
      </c>
      <c r="O86" t="s">
        <v>150</v>
      </c>
      <c r="P86" t="s">
        <v>729</v>
      </c>
      <c r="Q86" t="s">
        <v>730</v>
      </c>
      <c r="R86" t="s">
        <v>17</v>
      </c>
      <c r="S86" t="s">
        <v>1571</v>
      </c>
      <c r="AO86" s="40"/>
      <c r="AP86" s="40"/>
      <c r="AQ86" s="41">
        <v>46063</v>
      </c>
      <c r="AR86" s="40">
        <v>44122.700937499998</v>
      </c>
    </row>
    <row r="87" spans="1:44" x14ac:dyDescent="0.25">
      <c r="A87">
        <v>1237</v>
      </c>
      <c r="B87" t="s">
        <v>63</v>
      </c>
      <c r="C87" t="s">
        <v>684</v>
      </c>
      <c r="D87" t="s">
        <v>685</v>
      </c>
      <c r="E87" t="s">
        <v>406</v>
      </c>
      <c r="F87" t="s">
        <v>460</v>
      </c>
      <c r="G87" t="s">
        <v>17</v>
      </c>
      <c r="H87" t="s">
        <v>677</v>
      </c>
      <c r="I87" t="s">
        <v>19</v>
      </c>
      <c r="J87" t="s">
        <v>20</v>
      </c>
      <c r="K87" t="s">
        <v>33</v>
      </c>
      <c r="L87" t="s">
        <v>279</v>
      </c>
      <c r="M87" t="s">
        <v>279</v>
      </c>
      <c r="N87">
        <v>2026</v>
      </c>
      <c r="O87" t="s">
        <v>150</v>
      </c>
      <c r="P87" t="s">
        <v>729</v>
      </c>
      <c r="Q87" t="s">
        <v>730</v>
      </c>
      <c r="R87" t="s">
        <v>17</v>
      </c>
      <c r="S87" t="s">
        <v>1572</v>
      </c>
      <c r="AO87" s="40"/>
      <c r="AP87" s="40"/>
      <c r="AQ87" s="41">
        <v>46063</v>
      </c>
      <c r="AR87" s="40">
        <v>44122.702731481484</v>
      </c>
    </row>
    <row r="88" spans="1:44" x14ac:dyDescent="0.25">
      <c r="A88">
        <v>1238</v>
      </c>
      <c r="B88" t="s">
        <v>63</v>
      </c>
      <c r="C88" t="s">
        <v>700</v>
      </c>
      <c r="D88" t="s">
        <v>686</v>
      </c>
      <c r="E88" t="s">
        <v>406</v>
      </c>
      <c r="F88" t="s">
        <v>460</v>
      </c>
      <c r="G88" t="s">
        <v>17</v>
      </c>
      <c r="H88" t="s">
        <v>678</v>
      </c>
      <c r="I88" t="s">
        <v>19</v>
      </c>
      <c r="J88" t="s">
        <v>30</v>
      </c>
      <c r="K88" t="s">
        <v>728</v>
      </c>
      <c r="L88" t="s">
        <v>687</v>
      </c>
      <c r="M88" t="s">
        <v>687</v>
      </c>
      <c r="N88">
        <v>2024</v>
      </c>
      <c r="O88" t="s">
        <v>133</v>
      </c>
      <c r="P88" t="s">
        <v>729</v>
      </c>
      <c r="Q88" t="s">
        <v>731</v>
      </c>
      <c r="R88" t="s">
        <v>17</v>
      </c>
      <c r="S88" t="s">
        <v>1573</v>
      </c>
      <c r="AO88" s="40"/>
      <c r="AP88" s="40"/>
      <c r="AQ88" s="41">
        <v>46063</v>
      </c>
      <c r="AR88" s="40">
        <v>44122.725682870368</v>
      </c>
    </row>
    <row r="89" spans="1:44" x14ac:dyDescent="0.25">
      <c r="A89">
        <v>1240</v>
      </c>
      <c r="B89" t="s">
        <v>61</v>
      </c>
      <c r="C89" t="s">
        <v>522</v>
      </c>
      <c r="D89" t="s">
        <v>523</v>
      </c>
      <c r="E89" t="s">
        <v>524</v>
      </c>
      <c r="F89" t="s">
        <v>525</v>
      </c>
      <c r="G89" t="s">
        <v>24</v>
      </c>
      <c r="H89" t="s">
        <v>21</v>
      </c>
      <c r="I89" t="s">
        <v>19</v>
      </c>
      <c r="J89" t="s">
        <v>20</v>
      </c>
      <c r="K89" t="s">
        <v>728</v>
      </c>
      <c r="L89" t="s">
        <v>526</v>
      </c>
      <c r="M89" t="s">
        <v>21</v>
      </c>
      <c r="N89" t="s">
        <v>1106</v>
      </c>
      <c r="O89" t="s">
        <v>133</v>
      </c>
      <c r="P89" t="s">
        <v>729</v>
      </c>
      <c r="Q89" t="s">
        <v>731</v>
      </c>
      <c r="R89" t="s">
        <v>17</v>
      </c>
      <c r="S89" t="str">
        <f t="shared" ref="S89:S92" si="4">N89&amp;"-"&amp;A89</f>
        <v>In-service-1240</v>
      </c>
      <c r="AO89" s="40"/>
      <c r="AP89" s="40"/>
      <c r="AQ89" s="41">
        <v>46057</v>
      </c>
      <c r="AR89" s="40">
        <v>44570.658437500002</v>
      </c>
    </row>
    <row r="90" spans="1:44" x14ac:dyDescent="0.25">
      <c r="A90">
        <v>1241</v>
      </c>
      <c r="B90" t="s">
        <v>61</v>
      </c>
      <c r="C90" t="s">
        <v>527</v>
      </c>
      <c r="D90" t="s">
        <v>528</v>
      </c>
      <c r="E90" t="s">
        <v>529</v>
      </c>
      <c r="F90" t="s">
        <v>530</v>
      </c>
      <c r="G90" t="s">
        <v>17</v>
      </c>
      <c r="H90" t="s">
        <v>536</v>
      </c>
      <c r="I90" t="s">
        <v>19</v>
      </c>
      <c r="J90" t="s">
        <v>27</v>
      </c>
      <c r="K90" t="s">
        <v>728</v>
      </c>
      <c r="L90" t="s">
        <v>439</v>
      </c>
      <c r="M90" t="s">
        <v>21</v>
      </c>
      <c r="N90" t="s">
        <v>1106</v>
      </c>
      <c r="O90" t="s">
        <v>133</v>
      </c>
      <c r="P90" t="s">
        <v>729</v>
      </c>
      <c r="Q90" t="s">
        <v>731</v>
      </c>
      <c r="R90" t="s">
        <v>17</v>
      </c>
      <c r="S90" t="str">
        <f t="shared" si="4"/>
        <v>In-service-1241</v>
      </c>
      <c r="AO90" s="40"/>
      <c r="AP90" s="40"/>
      <c r="AQ90" s="41">
        <v>46057</v>
      </c>
      <c r="AR90" s="40">
        <v>44570.664155092592</v>
      </c>
    </row>
    <row r="91" spans="1:44" x14ac:dyDescent="0.25">
      <c r="A91">
        <v>1242</v>
      </c>
      <c r="B91" t="s">
        <v>61</v>
      </c>
      <c r="C91" t="s">
        <v>885</v>
      </c>
      <c r="D91" t="s">
        <v>886</v>
      </c>
      <c r="E91" t="s">
        <v>531</v>
      </c>
      <c r="F91" t="s">
        <v>530</v>
      </c>
      <c r="G91" t="s">
        <v>24</v>
      </c>
      <c r="H91" t="s">
        <v>21</v>
      </c>
      <c r="I91" t="s">
        <v>16</v>
      </c>
      <c r="J91" t="s">
        <v>20</v>
      </c>
      <c r="K91" t="s">
        <v>728</v>
      </c>
      <c r="L91" t="s">
        <v>532</v>
      </c>
      <c r="M91" t="s">
        <v>21</v>
      </c>
      <c r="N91" t="s">
        <v>1107</v>
      </c>
      <c r="O91" t="s">
        <v>133</v>
      </c>
      <c r="P91">
        <v>18</v>
      </c>
      <c r="Q91" t="s">
        <v>731</v>
      </c>
      <c r="R91" t="s">
        <v>17</v>
      </c>
      <c r="S91" t="str">
        <f t="shared" si="4"/>
        <v>in-service-1242</v>
      </c>
      <c r="AO91" s="40"/>
      <c r="AP91" s="40"/>
      <c r="AQ91" s="41">
        <v>46057</v>
      </c>
      <c r="AR91" s="40">
        <v>44570.66778935185</v>
      </c>
    </row>
    <row r="92" spans="1:44" x14ac:dyDescent="0.25">
      <c r="A92">
        <v>1243</v>
      </c>
      <c r="B92" t="s">
        <v>61</v>
      </c>
      <c r="C92" t="s">
        <v>887</v>
      </c>
      <c r="D92" t="s">
        <v>533</v>
      </c>
      <c r="E92" t="s">
        <v>531</v>
      </c>
      <c r="F92" t="s">
        <v>530</v>
      </c>
      <c r="G92" t="s">
        <v>17</v>
      </c>
      <c r="H92" t="s">
        <v>536</v>
      </c>
      <c r="I92" t="s">
        <v>19</v>
      </c>
      <c r="J92" t="s">
        <v>27</v>
      </c>
      <c r="K92" t="s">
        <v>728</v>
      </c>
      <c r="L92" t="s">
        <v>534</v>
      </c>
      <c r="M92" t="s">
        <v>535</v>
      </c>
      <c r="N92" t="s">
        <v>1107</v>
      </c>
      <c r="O92" t="s">
        <v>133</v>
      </c>
      <c r="P92" t="s">
        <v>729</v>
      </c>
      <c r="Q92" t="s">
        <v>731</v>
      </c>
      <c r="R92" t="s">
        <v>17</v>
      </c>
      <c r="S92" t="str">
        <f t="shared" si="4"/>
        <v>in-service-1243</v>
      </c>
      <c r="AO92" s="40"/>
      <c r="AP92" s="40"/>
      <c r="AQ92" s="41">
        <v>46057</v>
      </c>
      <c r="AR92" s="40">
        <v>44570.673449074071</v>
      </c>
    </row>
    <row r="93" spans="1:44" x14ac:dyDescent="0.25">
      <c r="A93">
        <v>1249</v>
      </c>
      <c r="B93" t="s">
        <v>39</v>
      </c>
      <c r="C93" t="s">
        <v>739</v>
      </c>
      <c r="D93" t="s">
        <v>740</v>
      </c>
      <c r="E93" t="s">
        <v>542</v>
      </c>
      <c r="F93" t="s">
        <v>153</v>
      </c>
      <c r="G93" t="s">
        <v>24</v>
      </c>
      <c r="H93" t="s">
        <v>21</v>
      </c>
      <c r="I93" t="s">
        <v>16</v>
      </c>
      <c r="J93" t="s">
        <v>20</v>
      </c>
      <c r="K93" t="s">
        <v>18</v>
      </c>
      <c r="L93" t="s">
        <v>546</v>
      </c>
      <c r="M93" t="s">
        <v>548</v>
      </c>
      <c r="N93">
        <v>2034</v>
      </c>
      <c r="O93" t="s">
        <v>133</v>
      </c>
      <c r="P93">
        <v>8.5329999999999995</v>
      </c>
      <c r="Q93" t="s">
        <v>735</v>
      </c>
      <c r="R93" t="s">
        <v>17</v>
      </c>
      <c r="S93" t="s">
        <v>738</v>
      </c>
      <c r="AO93" s="40">
        <v>45294.564050925925</v>
      </c>
      <c r="AP93" s="40"/>
      <c r="AQ93" s="41">
        <v>45324</v>
      </c>
      <c r="AR93" s="40">
        <v>44573.435925925929</v>
      </c>
    </row>
    <row r="94" spans="1:44" x14ac:dyDescent="0.25">
      <c r="A94">
        <v>1253</v>
      </c>
      <c r="B94" t="s">
        <v>39</v>
      </c>
      <c r="C94" t="s">
        <v>551</v>
      </c>
      <c r="D94" t="s">
        <v>551</v>
      </c>
      <c r="E94" t="s">
        <v>207</v>
      </c>
      <c r="F94" t="s">
        <v>207</v>
      </c>
      <c r="G94" t="s">
        <v>24</v>
      </c>
      <c r="H94" t="s">
        <v>21</v>
      </c>
      <c r="I94" t="s">
        <v>19</v>
      </c>
      <c r="J94" t="s">
        <v>20</v>
      </c>
      <c r="K94" t="s">
        <v>18</v>
      </c>
      <c r="L94" t="s">
        <v>552</v>
      </c>
      <c r="M94" t="s">
        <v>552</v>
      </c>
      <c r="N94">
        <v>2028</v>
      </c>
      <c r="O94" t="s">
        <v>133</v>
      </c>
      <c r="P94" t="s">
        <v>729</v>
      </c>
      <c r="Q94" t="s">
        <v>735</v>
      </c>
      <c r="R94" t="s">
        <v>17</v>
      </c>
      <c r="S94" t="s">
        <v>741</v>
      </c>
      <c r="AO94" s="40">
        <v>45294.564768518518</v>
      </c>
      <c r="AP94" s="40"/>
      <c r="AQ94" s="41">
        <v>45324</v>
      </c>
      <c r="AR94" s="40">
        <v>44573.548449074071</v>
      </c>
    </row>
    <row r="95" spans="1:44" x14ac:dyDescent="0.25">
      <c r="A95">
        <v>1254</v>
      </c>
      <c r="B95" t="s">
        <v>39</v>
      </c>
      <c r="C95" t="s">
        <v>553</v>
      </c>
      <c r="D95" t="s">
        <v>553</v>
      </c>
      <c r="E95" t="s">
        <v>542</v>
      </c>
      <c r="F95" t="s">
        <v>153</v>
      </c>
      <c r="G95" t="s">
        <v>24</v>
      </c>
      <c r="H95" t="s">
        <v>21</v>
      </c>
      <c r="I95" t="s">
        <v>16</v>
      </c>
      <c r="J95" t="s">
        <v>20</v>
      </c>
      <c r="K95" t="s">
        <v>18</v>
      </c>
      <c r="L95" t="s">
        <v>67</v>
      </c>
      <c r="M95" t="s">
        <v>554</v>
      </c>
      <c r="N95">
        <v>2028</v>
      </c>
      <c r="O95" t="s">
        <v>133</v>
      </c>
      <c r="P95">
        <v>4.87</v>
      </c>
      <c r="Q95" t="s">
        <v>731</v>
      </c>
      <c r="R95" t="s">
        <v>17</v>
      </c>
      <c r="S95" t="s">
        <v>742</v>
      </c>
      <c r="AO95" s="40">
        <v>45294.564976851849</v>
      </c>
      <c r="AP95" s="40"/>
      <c r="AQ95" s="41">
        <v>45324</v>
      </c>
      <c r="AR95" s="40">
        <v>44573.612303240741</v>
      </c>
    </row>
    <row r="96" spans="1:44" x14ac:dyDescent="0.25">
      <c r="A96">
        <v>1255</v>
      </c>
      <c r="B96" t="s">
        <v>39</v>
      </c>
      <c r="C96" t="s">
        <v>717</v>
      </c>
      <c r="D96" t="s">
        <v>744</v>
      </c>
      <c r="E96" t="s">
        <v>75</v>
      </c>
      <c r="F96" t="s">
        <v>75</v>
      </c>
      <c r="G96" t="s">
        <v>24</v>
      </c>
      <c r="H96" t="s">
        <v>21</v>
      </c>
      <c r="I96" t="s">
        <v>16</v>
      </c>
      <c r="J96" t="s">
        <v>20</v>
      </c>
      <c r="K96" t="s">
        <v>18</v>
      </c>
      <c r="L96" t="s">
        <v>555</v>
      </c>
      <c r="M96" t="s">
        <v>550</v>
      </c>
      <c r="N96">
        <v>2027</v>
      </c>
      <c r="O96" t="s">
        <v>133</v>
      </c>
      <c r="P96">
        <v>7.1</v>
      </c>
      <c r="Q96" t="s">
        <v>731</v>
      </c>
      <c r="R96" t="s">
        <v>17</v>
      </c>
      <c r="S96" t="s">
        <v>743</v>
      </c>
      <c r="AO96" s="40">
        <v>45294.56527777778</v>
      </c>
      <c r="AP96" s="40"/>
      <c r="AQ96" s="41">
        <v>45324</v>
      </c>
      <c r="AR96" s="40">
        <v>44573.615902777776</v>
      </c>
    </row>
    <row r="97" spans="1:44" x14ac:dyDescent="0.25">
      <c r="A97">
        <v>1256</v>
      </c>
      <c r="B97" t="s">
        <v>39</v>
      </c>
      <c r="C97" t="s">
        <v>746</v>
      </c>
      <c r="D97" t="s">
        <v>747</v>
      </c>
      <c r="E97" t="s">
        <v>541</v>
      </c>
      <c r="F97" t="s">
        <v>153</v>
      </c>
      <c r="G97" t="s">
        <v>24</v>
      </c>
      <c r="H97" t="s">
        <v>21</v>
      </c>
      <c r="I97" t="s">
        <v>19</v>
      </c>
      <c r="J97" t="s">
        <v>27</v>
      </c>
      <c r="K97" t="s">
        <v>18</v>
      </c>
      <c r="L97" t="s">
        <v>209</v>
      </c>
      <c r="M97" t="s">
        <v>209</v>
      </c>
      <c r="N97">
        <v>2028</v>
      </c>
      <c r="O97" t="s">
        <v>133</v>
      </c>
      <c r="P97" t="s">
        <v>729</v>
      </c>
      <c r="Q97" t="s">
        <v>731</v>
      </c>
      <c r="R97" t="s">
        <v>17</v>
      </c>
      <c r="S97" t="s">
        <v>745</v>
      </c>
      <c r="AO97" s="40">
        <v>45294.565578703703</v>
      </c>
      <c r="AP97" s="40"/>
      <c r="AQ97" s="41">
        <v>45324</v>
      </c>
      <c r="AR97" s="40">
        <v>44573.619270833333</v>
      </c>
    </row>
    <row r="98" spans="1:44" x14ac:dyDescent="0.25">
      <c r="A98">
        <v>1257</v>
      </c>
      <c r="B98" t="s">
        <v>39</v>
      </c>
      <c r="C98" t="s">
        <v>556</v>
      </c>
      <c r="D98" t="s">
        <v>749</v>
      </c>
      <c r="E98" t="s">
        <v>153</v>
      </c>
      <c r="F98" t="s">
        <v>153</v>
      </c>
      <c r="G98" t="s">
        <v>24</v>
      </c>
      <c r="H98" t="s">
        <v>21</v>
      </c>
      <c r="I98" t="s">
        <v>16</v>
      </c>
      <c r="J98" t="s">
        <v>27</v>
      </c>
      <c r="K98" t="s">
        <v>18</v>
      </c>
      <c r="L98" t="s">
        <v>72</v>
      </c>
      <c r="M98" t="s">
        <v>209</v>
      </c>
      <c r="N98">
        <v>2028</v>
      </c>
      <c r="O98" t="s">
        <v>133</v>
      </c>
      <c r="P98">
        <v>0.5</v>
      </c>
      <c r="Q98" t="s">
        <v>731</v>
      </c>
      <c r="R98" t="s">
        <v>17</v>
      </c>
      <c r="S98" t="s">
        <v>748</v>
      </c>
      <c r="AO98" s="40">
        <v>45294.565787037034</v>
      </c>
      <c r="AP98" s="40"/>
      <c r="AQ98" s="41">
        <v>45324</v>
      </c>
      <c r="AR98" s="40">
        <v>44573.620532407411</v>
      </c>
    </row>
    <row r="99" spans="1:44" x14ac:dyDescent="0.25">
      <c r="A99">
        <v>1261</v>
      </c>
      <c r="B99" t="s">
        <v>39</v>
      </c>
      <c r="C99" t="s">
        <v>751</v>
      </c>
      <c r="D99" t="s">
        <v>752</v>
      </c>
      <c r="E99" t="s">
        <v>153</v>
      </c>
      <c r="F99" t="s">
        <v>153</v>
      </c>
      <c r="G99" t="s">
        <v>24</v>
      </c>
      <c r="H99" t="s">
        <v>21</v>
      </c>
      <c r="I99" t="s">
        <v>19</v>
      </c>
      <c r="J99" t="s">
        <v>27</v>
      </c>
      <c r="K99" t="s">
        <v>18</v>
      </c>
      <c r="L99" t="s">
        <v>558</v>
      </c>
      <c r="M99" t="s">
        <v>558</v>
      </c>
      <c r="N99">
        <v>2028</v>
      </c>
      <c r="O99" t="s">
        <v>133</v>
      </c>
      <c r="P99" t="s">
        <v>729</v>
      </c>
      <c r="Q99" t="s">
        <v>731</v>
      </c>
      <c r="R99" t="s">
        <v>17</v>
      </c>
      <c r="S99" t="s">
        <v>750</v>
      </c>
      <c r="AO99" s="40">
        <v>45294.566782407404</v>
      </c>
      <c r="AP99" s="40"/>
      <c r="AQ99" s="41">
        <v>45324</v>
      </c>
      <c r="AR99" s="40">
        <v>44573.628101851849</v>
      </c>
    </row>
    <row r="100" spans="1:44" x14ac:dyDescent="0.25">
      <c r="A100">
        <v>1262</v>
      </c>
      <c r="B100" t="s">
        <v>39</v>
      </c>
      <c r="C100" t="s">
        <v>559</v>
      </c>
      <c r="D100" t="s">
        <v>754</v>
      </c>
      <c r="E100" t="s">
        <v>153</v>
      </c>
      <c r="F100" t="s">
        <v>153</v>
      </c>
      <c r="G100" t="s">
        <v>24</v>
      </c>
      <c r="H100" t="s">
        <v>21</v>
      </c>
      <c r="I100" t="s">
        <v>23</v>
      </c>
      <c r="J100" t="s">
        <v>20</v>
      </c>
      <c r="K100" t="s">
        <v>18</v>
      </c>
      <c r="L100" t="s">
        <v>560</v>
      </c>
      <c r="M100" t="s">
        <v>560</v>
      </c>
      <c r="N100">
        <v>2027</v>
      </c>
      <c r="O100" t="s">
        <v>133</v>
      </c>
      <c r="P100" t="s">
        <v>729</v>
      </c>
      <c r="Q100" t="s">
        <v>735</v>
      </c>
      <c r="R100" t="s">
        <v>17</v>
      </c>
      <c r="S100" t="s">
        <v>753</v>
      </c>
      <c r="AO100" s="40">
        <v>45294.567013888889</v>
      </c>
      <c r="AP100" s="40"/>
      <c r="AQ100" s="41">
        <v>45324</v>
      </c>
      <c r="AR100" s="40">
        <v>44573.628888888888</v>
      </c>
    </row>
    <row r="101" spans="1:44" x14ac:dyDescent="0.25">
      <c r="A101">
        <v>1263</v>
      </c>
      <c r="B101" t="s">
        <v>39</v>
      </c>
      <c r="C101" t="s">
        <v>756</v>
      </c>
      <c r="D101" t="s">
        <v>1554</v>
      </c>
      <c r="E101" t="s">
        <v>542</v>
      </c>
      <c r="F101" t="s">
        <v>153</v>
      </c>
      <c r="G101" t="s">
        <v>24</v>
      </c>
      <c r="H101" t="s">
        <v>21</v>
      </c>
      <c r="I101" t="s">
        <v>16</v>
      </c>
      <c r="J101" t="s">
        <v>20</v>
      </c>
      <c r="K101" t="s">
        <v>18</v>
      </c>
      <c r="L101" t="s">
        <v>560</v>
      </c>
      <c r="M101" t="s">
        <v>561</v>
      </c>
      <c r="N101">
        <v>2027</v>
      </c>
      <c r="O101" t="s">
        <v>133</v>
      </c>
      <c r="P101">
        <v>7.05</v>
      </c>
      <c r="Q101" t="s">
        <v>735</v>
      </c>
      <c r="R101" t="s">
        <v>17</v>
      </c>
      <c r="S101" t="s">
        <v>755</v>
      </c>
      <c r="AO101" s="40">
        <v>45294.567303240743</v>
      </c>
      <c r="AP101" s="40"/>
      <c r="AQ101" s="41">
        <v>45324</v>
      </c>
      <c r="AR101" s="40">
        <v>44573.631249999999</v>
      </c>
    </row>
    <row r="102" spans="1:44" x14ac:dyDescent="0.25">
      <c r="A102">
        <v>1264</v>
      </c>
      <c r="B102" t="s">
        <v>39</v>
      </c>
      <c r="C102" t="s">
        <v>1555</v>
      </c>
      <c r="D102" t="s">
        <v>1556</v>
      </c>
      <c r="E102" t="s">
        <v>542</v>
      </c>
      <c r="F102" t="s">
        <v>153</v>
      </c>
      <c r="G102" t="s">
        <v>24</v>
      </c>
      <c r="H102" t="s">
        <v>21</v>
      </c>
      <c r="I102" t="s">
        <v>16</v>
      </c>
      <c r="J102" t="s">
        <v>20</v>
      </c>
      <c r="K102" t="s">
        <v>18</v>
      </c>
      <c r="L102" t="s">
        <v>560</v>
      </c>
      <c r="M102" t="s">
        <v>562</v>
      </c>
      <c r="N102">
        <v>2029</v>
      </c>
      <c r="O102" t="s">
        <v>133</v>
      </c>
      <c r="P102">
        <v>18.34</v>
      </c>
      <c r="Q102" t="s">
        <v>735</v>
      </c>
      <c r="R102" t="s">
        <v>17</v>
      </c>
      <c r="S102" t="s">
        <v>757</v>
      </c>
      <c r="AO102" s="40">
        <v>45294.567615740743</v>
      </c>
      <c r="AP102" s="40"/>
      <c r="AQ102" s="41">
        <v>45324</v>
      </c>
      <c r="AR102" s="40">
        <v>44573.633171296293</v>
      </c>
    </row>
    <row r="103" spans="1:44" x14ac:dyDescent="0.25">
      <c r="A103">
        <v>1265</v>
      </c>
      <c r="B103" t="s">
        <v>39</v>
      </c>
      <c r="C103" t="s">
        <v>758</v>
      </c>
      <c r="D103" t="s">
        <v>759</v>
      </c>
      <c r="E103" t="s">
        <v>563</v>
      </c>
      <c r="F103" t="s">
        <v>153</v>
      </c>
      <c r="G103" t="s">
        <v>24</v>
      </c>
      <c r="H103" t="s">
        <v>21</v>
      </c>
      <c r="I103" t="s">
        <v>19</v>
      </c>
      <c r="J103" t="s">
        <v>20</v>
      </c>
      <c r="K103" t="s">
        <v>728</v>
      </c>
      <c r="L103" t="s">
        <v>562</v>
      </c>
      <c r="M103" t="s">
        <v>562</v>
      </c>
      <c r="N103">
        <v>2025</v>
      </c>
      <c r="O103" t="s">
        <v>133</v>
      </c>
      <c r="P103" t="s">
        <v>729</v>
      </c>
      <c r="Q103" t="s">
        <v>735</v>
      </c>
      <c r="R103" t="s">
        <v>17</v>
      </c>
      <c r="S103" t="s">
        <v>718</v>
      </c>
      <c r="AO103" s="40">
        <v>45294.567824074074</v>
      </c>
      <c r="AP103" s="40"/>
      <c r="AQ103" s="41">
        <v>45324</v>
      </c>
      <c r="AR103" s="40">
        <v>44573.636157407411</v>
      </c>
    </row>
    <row r="104" spans="1:44" x14ac:dyDescent="0.25">
      <c r="A104">
        <v>1266</v>
      </c>
      <c r="B104" t="s">
        <v>39</v>
      </c>
      <c r="C104" t="s">
        <v>761</v>
      </c>
      <c r="D104" t="s">
        <v>762</v>
      </c>
      <c r="E104" t="s">
        <v>542</v>
      </c>
      <c r="F104" t="s">
        <v>153</v>
      </c>
      <c r="G104" t="s">
        <v>24</v>
      </c>
      <c r="H104" t="s">
        <v>21</v>
      </c>
      <c r="I104" t="s">
        <v>16</v>
      </c>
      <c r="J104" t="s">
        <v>20</v>
      </c>
      <c r="K104" t="s">
        <v>18</v>
      </c>
      <c r="L104" t="s">
        <v>70</v>
      </c>
      <c r="M104" t="s">
        <v>562</v>
      </c>
      <c r="N104">
        <v>2026</v>
      </c>
      <c r="O104" t="s">
        <v>133</v>
      </c>
      <c r="P104">
        <v>13.3</v>
      </c>
      <c r="Q104" t="s">
        <v>735</v>
      </c>
      <c r="R104" t="s">
        <v>17</v>
      </c>
      <c r="S104" t="s">
        <v>760</v>
      </c>
      <c r="AO104" s="40">
        <v>45294.568101851852</v>
      </c>
      <c r="AP104" s="40"/>
      <c r="AQ104" s="41">
        <v>45324</v>
      </c>
      <c r="AR104" s="40">
        <v>44573.637777777774</v>
      </c>
    </row>
    <row r="105" spans="1:44" x14ac:dyDescent="0.25">
      <c r="A105">
        <v>1267</v>
      </c>
      <c r="B105" t="s">
        <v>39</v>
      </c>
      <c r="C105" t="s">
        <v>764</v>
      </c>
      <c r="D105" t="s">
        <v>549</v>
      </c>
      <c r="E105" t="s">
        <v>540</v>
      </c>
      <c r="F105" t="s">
        <v>153</v>
      </c>
      <c r="G105" t="s">
        <v>24</v>
      </c>
      <c r="H105" t="s">
        <v>21</v>
      </c>
      <c r="I105" t="s">
        <v>23</v>
      </c>
      <c r="J105" t="s">
        <v>20</v>
      </c>
      <c r="K105" t="s">
        <v>18</v>
      </c>
      <c r="L105" t="s">
        <v>562</v>
      </c>
      <c r="M105" t="s">
        <v>562</v>
      </c>
      <c r="N105">
        <v>2026</v>
      </c>
      <c r="O105" t="s">
        <v>133</v>
      </c>
      <c r="P105" t="s">
        <v>729</v>
      </c>
      <c r="Q105" t="s">
        <v>735</v>
      </c>
      <c r="R105" t="s">
        <v>17</v>
      </c>
      <c r="S105" t="s">
        <v>763</v>
      </c>
      <c r="AO105" s="40">
        <v>45294.56832175926</v>
      </c>
      <c r="AP105" s="40"/>
      <c r="AQ105" s="41">
        <v>45324</v>
      </c>
      <c r="AR105" s="40">
        <v>44574.347581018519</v>
      </c>
    </row>
    <row r="106" spans="1:44" x14ac:dyDescent="0.25">
      <c r="A106">
        <v>1268</v>
      </c>
      <c r="B106" t="s">
        <v>39</v>
      </c>
      <c r="C106" t="s">
        <v>1557</v>
      </c>
      <c r="D106" t="s">
        <v>1558</v>
      </c>
      <c r="E106" t="s">
        <v>153</v>
      </c>
      <c r="F106" t="s">
        <v>153</v>
      </c>
      <c r="G106" t="s">
        <v>24</v>
      </c>
      <c r="H106" t="s">
        <v>21</v>
      </c>
      <c r="I106" t="s">
        <v>23</v>
      </c>
      <c r="J106" t="s">
        <v>1559</v>
      </c>
      <c r="K106" t="s">
        <v>18</v>
      </c>
      <c r="L106" t="s">
        <v>564</v>
      </c>
      <c r="M106" t="s">
        <v>564</v>
      </c>
      <c r="N106">
        <v>2031</v>
      </c>
      <c r="O106" t="s">
        <v>133</v>
      </c>
      <c r="P106" t="s">
        <v>729</v>
      </c>
      <c r="Q106" t="s">
        <v>735</v>
      </c>
      <c r="R106" t="s">
        <v>17</v>
      </c>
      <c r="S106" t="s">
        <v>765</v>
      </c>
      <c r="AO106" s="40">
        <v>45294.568518518521</v>
      </c>
      <c r="AP106" s="40"/>
      <c r="AQ106" s="41">
        <v>45324</v>
      </c>
      <c r="AR106" s="40">
        <v>44573.642384259256</v>
      </c>
    </row>
    <row r="107" spans="1:44" x14ac:dyDescent="0.25">
      <c r="A107">
        <v>1269</v>
      </c>
      <c r="B107" t="s">
        <v>39</v>
      </c>
      <c r="C107" t="s">
        <v>565</v>
      </c>
      <c r="D107" t="s">
        <v>767</v>
      </c>
      <c r="E107" t="s">
        <v>542</v>
      </c>
      <c r="F107" t="s">
        <v>153</v>
      </c>
      <c r="G107" t="s">
        <v>24</v>
      </c>
      <c r="H107" t="s">
        <v>21</v>
      </c>
      <c r="I107" t="s">
        <v>16</v>
      </c>
      <c r="J107" t="s">
        <v>20</v>
      </c>
      <c r="K107" t="s">
        <v>18</v>
      </c>
      <c r="L107" t="s">
        <v>564</v>
      </c>
      <c r="M107" t="s">
        <v>560</v>
      </c>
      <c r="N107">
        <v>2031</v>
      </c>
      <c r="O107" t="s">
        <v>133</v>
      </c>
      <c r="P107">
        <v>8.8800000000000008</v>
      </c>
      <c r="Q107" t="s">
        <v>735</v>
      </c>
      <c r="R107" t="s">
        <v>17</v>
      </c>
      <c r="S107" t="s">
        <v>766</v>
      </c>
      <c r="AO107" s="40">
        <v>45294.568715277775</v>
      </c>
      <c r="AP107" s="40"/>
      <c r="AQ107" s="41">
        <v>45324</v>
      </c>
      <c r="AR107" s="40">
        <v>44573.644756944443</v>
      </c>
    </row>
    <row r="108" spans="1:44" x14ac:dyDescent="0.25">
      <c r="A108">
        <v>1270</v>
      </c>
      <c r="B108" t="s">
        <v>39</v>
      </c>
      <c r="C108" t="s">
        <v>769</v>
      </c>
      <c r="D108" t="s">
        <v>770</v>
      </c>
      <c r="E108" t="s">
        <v>542</v>
      </c>
      <c r="F108" t="s">
        <v>153</v>
      </c>
      <c r="G108" t="s">
        <v>24</v>
      </c>
      <c r="H108" t="s">
        <v>21</v>
      </c>
      <c r="I108" t="s">
        <v>16</v>
      </c>
      <c r="J108" t="s">
        <v>20</v>
      </c>
      <c r="K108" t="s">
        <v>18</v>
      </c>
      <c r="L108" t="s">
        <v>771</v>
      </c>
      <c r="M108" t="s">
        <v>564</v>
      </c>
      <c r="N108">
        <v>2031</v>
      </c>
      <c r="O108" t="s">
        <v>133</v>
      </c>
      <c r="P108">
        <v>5.72</v>
      </c>
      <c r="Q108" t="s">
        <v>735</v>
      </c>
      <c r="R108" t="s">
        <v>17</v>
      </c>
      <c r="S108" t="s">
        <v>768</v>
      </c>
      <c r="AO108" s="40">
        <v>45294.568958333337</v>
      </c>
      <c r="AP108" s="40"/>
      <c r="AQ108" s="41">
        <v>45324</v>
      </c>
      <c r="AR108" s="40">
        <v>44573.65829861111</v>
      </c>
    </row>
    <row r="109" spans="1:44" x14ac:dyDescent="0.25">
      <c r="A109">
        <v>1271</v>
      </c>
      <c r="B109" t="s">
        <v>39</v>
      </c>
      <c r="C109" t="s">
        <v>773</v>
      </c>
      <c r="D109" t="s">
        <v>773</v>
      </c>
      <c r="E109" t="s">
        <v>542</v>
      </c>
      <c r="F109" t="s">
        <v>153</v>
      </c>
      <c r="G109" t="s">
        <v>24</v>
      </c>
      <c r="H109" t="s">
        <v>21</v>
      </c>
      <c r="I109" t="s">
        <v>16</v>
      </c>
      <c r="J109" t="s">
        <v>55</v>
      </c>
      <c r="K109" t="s">
        <v>18</v>
      </c>
      <c r="L109" t="s">
        <v>566</v>
      </c>
      <c r="M109" t="s">
        <v>567</v>
      </c>
      <c r="N109">
        <v>2026</v>
      </c>
      <c r="O109" t="s">
        <v>133</v>
      </c>
      <c r="P109">
        <v>5</v>
      </c>
      <c r="Q109" t="s">
        <v>735</v>
      </c>
      <c r="R109" t="s">
        <v>17</v>
      </c>
      <c r="S109" t="s">
        <v>772</v>
      </c>
      <c r="AO109" s="40">
        <v>45294.569155092591</v>
      </c>
      <c r="AP109" s="40"/>
      <c r="AQ109" s="41">
        <v>45324</v>
      </c>
      <c r="AR109" s="40">
        <v>44574.353310185186</v>
      </c>
    </row>
    <row r="110" spans="1:44" x14ac:dyDescent="0.25">
      <c r="A110">
        <v>1272</v>
      </c>
      <c r="B110" t="s">
        <v>39</v>
      </c>
      <c r="C110" t="s">
        <v>1609</v>
      </c>
      <c r="D110" t="s">
        <v>1610</v>
      </c>
      <c r="E110" t="s">
        <v>568</v>
      </c>
      <c r="F110" t="s">
        <v>153</v>
      </c>
      <c r="G110" t="s">
        <v>24</v>
      </c>
      <c r="H110" t="s">
        <v>21</v>
      </c>
      <c r="I110" t="s">
        <v>19</v>
      </c>
      <c r="J110" t="s">
        <v>20</v>
      </c>
      <c r="K110" t="s">
        <v>1110</v>
      </c>
      <c r="L110" t="s">
        <v>1611</v>
      </c>
      <c r="M110" t="s">
        <v>1611</v>
      </c>
      <c r="N110">
        <v>2027</v>
      </c>
      <c r="O110" t="s">
        <v>133</v>
      </c>
      <c r="P110" t="s">
        <v>729</v>
      </c>
      <c r="Q110" t="s">
        <v>735</v>
      </c>
      <c r="R110" t="s">
        <v>17</v>
      </c>
      <c r="S110" t="s">
        <v>1612</v>
      </c>
      <c r="AO110">
        <v>45294.569421296299</v>
      </c>
      <c r="AQ110">
        <v>45324</v>
      </c>
      <c r="AR110">
        <v>44574.375439814816</v>
      </c>
    </row>
    <row r="111" spans="1:44" x14ac:dyDescent="0.25">
      <c r="A111">
        <v>1274</v>
      </c>
      <c r="B111" t="s">
        <v>39</v>
      </c>
      <c r="C111" t="s">
        <v>775</v>
      </c>
      <c r="D111" t="s">
        <v>775</v>
      </c>
      <c r="E111" t="s">
        <v>153</v>
      </c>
      <c r="F111" t="s">
        <v>153</v>
      </c>
      <c r="G111" t="s">
        <v>24</v>
      </c>
      <c r="H111" t="s">
        <v>21</v>
      </c>
      <c r="I111" t="s">
        <v>16</v>
      </c>
      <c r="J111" t="s">
        <v>20</v>
      </c>
      <c r="K111" t="s">
        <v>18</v>
      </c>
      <c r="L111" t="s">
        <v>558</v>
      </c>
      <c r="M111" t="s">
        <v>569</v>
      </c>
      <c r="N111">
        <v>2029</v>
      </c>
      <c r="O111" t="s">
        <v>133</v>
      </c>
      <c r="P111">
        <v>11.84</v>
      </c>
      <c r="Q111" t="s">
        <v>731</v>
      </c>
      <c r="R111" t="s">
        <v>17</v>
      </c>
      <c r="S111" t="s">
        <v>774</v>
      </c>
      <c r="AO111" s="40">
        <v>45294.569930555554</v>
      </c>
      <c r="AP111" s="40"/>
      <c r="AQ111" s="41">
        <v>45324</v>
      </c>
      <c r="AR111" s="40">
        <v>44574.383009259262</v>
      </c>
    </row>
    <row r="112" spans="1:44" x14ac:dyDescent="0.25">
      <c r="A112">
        <v>1275</v>
      </c>
      <c r="B112" t="s">
        <v>39</v>
      </c>
      <c r="C112" t="s">
        <v>777</v>
      </c>
      <c r="D112" t="s">
        <v>777</v>
      </c>
      <c r="E112" t="s">
        <v>540</v>
      </c>
      <c r="F112" t="s">
        <v>153</v>
      </c>
      <c r="G112" t="s">
        <v>24</v>
      </c>
      <c r="H112" t="s">
        <v>21</v>
      </c>
      <c r="I112" t="s">
        <v>23</v>
      </c>
      <c r="J112" t="s">
        <v>27</v>
      </c>
      <c r="K112" t="s">
        <v>33</v>
      </c>
      <c r="L112" t="s">
        <v>547</v>
      </c>
      <c r="M112" t="s">
        <v>547</v>
      </c>
      <c r="N112" t="s">
        <v>22</v>
      </c>
      <c r="O112" t="s">
        <v>133</v>
      </c>
      <c r="P112" t="s">
        <v>729</v>
      </c>
      <c r="Q112" t="s">
        <v>731</v>
      </c>
      <c r="R112" t="s">
        <v>17</v>
      </c>
      <c r="S112" t="s">
        <v>776</v>
      </c>
      <c r="AO112" s="40">
        <v>45294.570219907408</v>
      </c>
      <c r="AP112" s="40"/>
      <c r="AQ112" s="41">
        <v>45324</v>
      </c>
      <c r="AR112" s="40">
        <v>44574.415972222225</v>
      </c>
    </row>
    <row r="113" spans="1:44" x14ac:dyDescent="0.25">
      <c r="A113">
        <v>1276</v>
      </c>
      <c r="B113" t="s">
        <v>39</v>
      </c>
      <c r="C113" t="s">
        <v>1613</v>
      </c>
      <c r="D113" t="s">
        <v>1614</v>
      </c>
      <c r="E113" t="s">
        <v>568</v>
      </c>
      <c r="F113" t="s">
        <v>153</v>
      </c>
      <c r="G113" t="s">
        <v>24</v>
      </c>
      <c r="H113" t="s">
        <v>21</v>
      </c>
      <c r="I113" t="s">
        <v>19</v>
      </c>
      <c r="J113" t="s">
        <v>20</v>
      </c>
      <c r="K113" t="s">
        <v>1110</v>
      </c>
      <c r="L113" t="s">
        <v>1615</v>
      </c>
      <c r="M113" t="s">
        <v>1615</v>
      </c>
      <c r="N113">
        <v>2029</v>
      </c>
      <c r="O113" t="s">
        <v>133</v>
      </c>
      <c r="P113" t="s">
        <v>729</v>
      </c>
      <c r="Q113" t="s">
        <v>735</v>
      </c>
      <c r="R113" t="s">
        <v>17</v>
      </c>
      <c r="S113" t="s">
        <v>1616</v>
      </c>
      <c r="AO113">
        <v>45294.570590277777</v>
      </c>
      <c r="AQ113">
        <v>45324</v>
      </c>
      <c r="AR113">
        <v>44574.421469907407</v>
      </c>
    </row>
    <row r="114" spans="1:44" x14ac:dyDescent="0.25">
      <c r="A114">
        <v>1278</v>
      </c>
      <c r="B114" t="s">
        <v>39</v>
      </c>
      <c r="C114" t="s">
        <v>779</v>
      </c>
      <c r="D114" t="s">
        <v>779</v>
      </c>
      <c r="E114" t="s">
        <v>153</v>
      </c>
      <c r="F114" t="s">
        <v>153</v>
      </c>
      <c r="G114" t="s">
        <v>24</v>
      </c>
      <c r="H114" t="s">
        <v>21</v>
      </c>
      <c r="I114" t="s">
        <v>16</v>
      </c>
      <c r="J114" t="s">
        <v>20</v>
      </c>
      <c r="K114" t="s">
        <v>18</v>
      </c>
      <c r="L114" t="s">
        <v>558</v>
      </c>
      <c r="M114" t="s">
        <v>570</v>
      </c>
      <c r="N114">
        <v>2029</v>
      </c>
      <c r="O114" t="s">
        <v>133</v>
      </c>
      <c r="P114">
        <v>6.39</v>
      </c>
      <c r="Q114" t="s">
        <v>731</v>
      </c>
      <c r="R114" t="s">
        <v>17</v>
      </c>
      <c r="S114" t="s">
        <v>778</v>
      </c>
      <c r="AO114" s="40">
        <v>45294.571203703701</v>
      </c>
      <c r="AP114" s="40"/>
      <c r="AQ114" s="41">
        <v>45324</v>
      </c>
      <c r="AR114" s="40">
        <v>44574.428425925929</v>
      </c>
    </row>
    <row r="115" spans="1:44" x14ac:dyDescent="0.25">
      <c r="A115">
        <v>1280</v>
      </c>
      <c r="B115" t="s">
        <v>39</v>
      </c>
      <c r="C115" t="s">
        <v>1617</v>
      </c>
      <c r="D115" t="s">
        <v>1617</v>
      </c>
      <c r="E115" t="s">
        <v>568</v>
      </c>
      <c r="F115" t="s">
        <v>153</v>
      </c>
      <c r="G115" t="s">
        <v>24</v>
      </c>
      <c r="H115" t="s">
        <v>21</v>
      </c>
      <c r="I115" t="s">
        <v>19</v>
      </c>
      <c r="J115" t="s">
        <v>20</v>
      </c>
      <c r="K115" t="s">
        <v>1110</v>
      </c>
      <c r="L115" t="s">
        <v>1618</v>
      </c>
      <c r="M115" t="s">
        <v>1618</v>
      </c>
      <c r="N115">
        <v>2030</v>
      </c>
      <c r="O115" t="s">
        <v>133</v>
      </c>
      <c r="P115" t="s">
        <v>729</v>
      </c>
      <c r="Q115" t="s">
        <v>735</v>
      </c>
      <c r="R115" t="s">
        <v>17</v>
      </c>
      <c r="S115" t="s">
        <v>1619</v>
      </c>
      <c r="AO115">
        <v>45294.571759259263</v>
      </c>
      <c r="AQ115">
        <v>45324</v>
      </c>
      <c r="AR115">
        <v>44574.434965277775</v>
      </c>
    </row>
    <row r="116" spans="1:44" x14ac:dyDescent="0.25">
      <c r="A116">
        <v>1282</v>
      </c>
      <c r="B116" t="s">
        <v>39</v>
      </c>
      <c r="C116" t="s">
        <v>1620</v>
      </c>
      <c r="D116" t="s">
        <v>1621</v>
      </c>
      <c r="E116" t="s">
        <v>545</v>
      </c>
      <c r="F116" t="s">
        <v>153</v>
      </c>
      <c r="G116" t="s">
        <v>24</v>
      </c>
      <c r="H116" t="s">
        <v>21</v>
      </c>
      <c r="I116" t="s">
        <v>16</v>
      </c>
      <c r="J116" t="s">
        <v>27</v>
      </c>
      <c r="K116" t="s">
        <v>18</v>
      </c>
      <c r="L116" t="s">
        <v>558</v>
      </c>
      <c r="M116" t="s">
        <v>1622</v>
      </c>
      <c r="N116">
        <v>2028</v>
      </c>
      <c r="O116" t="s">
        <v>133</v>
      </c>
      <c r="P116" t="s">
        <v>729</v>
      </c>
      <c r="Q116" t="s">
        <v>585</v>
      </c>
      <c r="R116" t="s">
        <v>17</v>
      </c>
      <c r="S116" t="s">
        <v>1623</v>
      </c>
      <c r="AO116">
        <v>45294.572210648148</v>
      </c>
      <c r="AQ116">
        <v>45324</v>
      </c>
      <c r="AR116">
        <v>44574.44390046296</v>
      </c>
    </row>
    <row r="117" spans="1:44" x14ac:dyDescent="0.25">
      <c r="A117">
        <v>1283</v>
      </c>
      <c r="B117" t="s">
        <v>39</v>
      </c>
      <c r="C117" t="s">
        <v>1560</v>
      </c>
      <c r="D117" t="s">
        <v>1560</v>
      </c>
      <c r="E117" t="s">
        <v>153</v>
      </c>
      <c r="F117" t="s">
        <v>153</v>
      </c>
      <c r="G117" t="s">
        <v>24</v>
      </c>
      <c r="H117" t="s">
        <v>21</v>
      </c>
      <c r="I117" t="s">
        <v>19</v>
      </c>
      <c r="J117" t="s">
        <v>27</v>
      </c>
      <c r="K117" t="s">
        <v>18</v>
      </c>
      <c r="L117" t="s">
        <v>558</v>
      </c>
      <c r="M117" t="s">
        <v>558</v>
      </c>
      <c r="N117">
        <v>2029</v>
      </c>
      <c r="O117" t="s">
        <v>133</v>
      </c>
      <c r="P117" t="s">
        <v>729</v>
      </c>
      <c r="Q117" t="s">
        <v>731</v>
      </c>
      <c r="R117" t="s">
        <v>17</v>
      </c>
      <c r="S117" t="s">
        <v>780</v>
      </c>
      <c r="AO117" s="40">
        <v>45294.572442129633</v>
      </c>
      <c r="AP117" s="40"/>
      <c r="AQ117" s="41">
        <v>45324</v>
      </c>
      <c r="AR117" s="40">
        <v>44574.447766203702</v>
      </c>
    </row>
    <row r="118" spans="1:44" x14ac:dyDescent="0.25">
      <c r="A118">
        <v>1284</v>
      </c>
      <c r="B118" t="s">
        <v>39</v>
      </c>
      <c r="C118" t="s">
        <v>1561</v>
      </c>
      <c r="D118" t="s">
        <v>571</v>
      </c>
      <c r="E118" t="s">
        <v>542</v>
      </c>
      <c r="F118" t="s">
        <v>153</v>
      </c>
      <c r="G118" t="s">
        <v>24</v>
      </c>
      <c r="H118" t="s">
        <v>21</v>
      </c>
      <c r="I118" t="s">
        <v>16</v>
      </c>
      <c r="J118" t="s">
        <v>20</v>
      </c>
      <c r="K118" t="s">
        <v>18</v>
      </c>
      <c r="L118" t="s">
        <v>566</v>
      </c>
      <c r="M118" t="s">
        <v>572</v>
      </c>
      <c r="N118">
        <v>2034</v>
      </c>
      <c r="O118" t="s">
        <v>133</v>
      </c>
      <c r="P118">
        <v>5.25</v>
      </c>
      <c r="Q118" t="s">
        <v>735</v>
      </c>
      <c r="R118" t="s">
        <v>17</v>
      </c>
      <c r="S118" t="s">
        <v>781</v>
      </c>
      <c r="AO118" s="40">
        <v>45294.57267361111</v>
      </c>
      <c r="AP118" s="40"/>
      <c r="AQ118" s="41">
        <v>45324</v>
      </c>
      <c r="AR118" s="40">
        <v>44574.354907407411</v>
      </c>
    </row>
    <row r="119" spans="1:44" x14ac:dyDescent="0.25">
      <c r="A119">
        <v>1286</v>
      </c>
      <c r="B119" t="s">
        <v>39</v>
      </c>
      <c r="C119" t="s">
        <v>783</v>
      </c>
      <c r="D119" t="s">
        <v>783</v>
      </c>
      <c r="E119" t="s">
        <v>153</v>
      </c>
      <c r="F119" t="s">
        <v>153</v>
      </c>
      <c r="G119" t="s">
        <v>24</v>
      </c>
      <c r="H119" t="s">
        <v>21</v>
      </c>
      <c r="I119" t="s">
        <v>19</v>
      </c>
      <c r="J119" t="s">
        <v>20</v>
      </c>
      <c r="K119" t="s">
        <v>18</v>
      </c>
      <c r="L119" t="s">
        <v>73</v>
      </c>
      <c r="M119" t="s">
        <v>73</v>
      </c>
      <c r="N119">
        <v>2028</v>
      </c>
      <c r="O119" t="s">
        <v>133</v>
      </c>
      <c r="P119" t="s">
        <v>729</v>
      </c>
      <c r="Q119" t="s">
        <v>731</v>
      </c>
      <c r="R119" t="s">
        <v>17</v>
      </c>
      <c r="S119" t="s">
        <v>782</v>
      </c>
      <c r="AO119" s="40">
        <v>45294.572870370372</v>
      </c>
      <c r="AP119" s="40"/>
      <c r="AQ119" s="41">
        <v>45324</v>
      </c>
      <c r="AR119" s="40">
        <v>44574.550682870373</v>
      </c>
    </row>
    <row r="120" spans="1:44" x14ac:dyDescent="0.25">
      <c r="A120">
        <v>1307</v>
      </c>
      <c r="B120" t="s">
        <v>167</v>
      </c>
      <c r="C120" t="s">
        <v>574</v>
      </c>
      <c r="D120" t="s">
        <v>575</v>
      </c>
      <c r="E120" t="s">
        <v>406</v>
      </c>
      <c r="F120" t="s">
        <v>406</v>
      </c>
      <c r="G120" t="s">
        <v>24</v>
      </c>
      <c r="H120" t="s">
        <v>21</v>
      </c>
      <c r="I120" t="s">
        <v>19</v>
      </c>
      <c r="J120" t="s">
        <v>20</v>
      </c>
      <c r="K120" t="s">
        <v>18</v>
      </c>
      <c r="L120" t="s">
        <v>950</v>
      </c>
      <c r="M120" t="s">
        <v>21</v>
      </c>
      <c r="N120">
        <v>2027</v>
      </c>
      <c r="O120" t="s">
        <v>150</v>
      </c>
      <c r="P120" t="s">
        <v>729</v>
      </c>
      <c r="Q120" t="s">
        <v>730</v>
      </c>
      <c r="R120" t="s">
        <v>17</v>
      </c>
      <c r="S120" t="str">
        <f t="shared" ref="S120:S155" si="5">N120&amp;"-"&amp;A120</f>
        <v>2027-1307</v>
      </c>
      <c r="AO120" s="40"/>
      <c r="AP120" s="40"/>
      <c r="AQ120" s="41">
        <v>46057</v>
      </c>
      <c r="AR120" s="40">
        <v>44551.62704861111</v>
      </c>
    </row>
    <row r="121" spans="1:44" x14ac:dyDescent="0.25">
      <c r="A121">
        <v>1314</v>
      </c>
      <c r="B121" t="s">
        <v>87</v>
      </c>
      <c r="C121" t="s">
        <v>583</v>
      </c>
      <c r="D121" t="s">
        <v>579</v>
      </c>
      <c r="E121" t="s">
        <v>584</v>
      </c>
      <c r="F121" t="s">
        <v>585</v>
      </c>
      <c r="G121" t="s">
        <v>24</v>
      </c>
      <c r="H121" t="s">
        <v>21</v>
      </c>
      <c r="I121" t="s">
        <v>16</v>
      </c>
      <c r="J121" t="s">
        <v>20</v>
      </c>
      <c r="K121" t="s">
        <v>728</v>
      </c>
      <c r="L121" t="s">
        <v>577</v>
      </c>
      <c r="M121" t="s">
        <v>577</v>
      </c>
      <c r="N121">
        <v>2024</v>
      </c>
      <c r="O121" t="s">
        <v>150</v>
      </c>
      <c r="P121" t="s">
        <v>729</v>
      </c>
      <c r="Q121" t="s">
        <v>917</v>
      </c>
      <c r="R121" t="s">
        <v>17</v>
      </c>
      <c r="S121" t="str">
        <f t="shared" si="5"/>
        <v>2024-1314</v>
      </c>
      <c r="AO121" s="40"/>
      <c r="AP121" s="40"/>
      <c r="AQ121" s="41">
        <v>46057</v>
      </c>
      <c r="AR121" s="40">
        <v>44587.530069444445</v>
      </c>
    </row>
    <row r="122" spans="1:44" x14ac:dyDescent="0.25">
      <c r="A122">
        <v>1315</v>
      </c>
      <c r="B122" t="s">
        <v>87</v>
      </c>
      <c r="C122" t="s">
        <v>586</v>
      </c>
      <c r="D122" t="s">
        <v>579</v>
      </c>
      <c r="E122" t="s">
        <v>75</v>
      </c>
      <c r="F122" t="s">
        <v>375</v>
      </c>
      <c r="G122" t="s">
        <v>24</v>
      </c>
      <c r="H122" t="s">
        <v>21</v>
      </c>
      <c r="I122" t="s">
        <v>19</v>
      </c>
      <c r="J122" t="s">
        <v>20</v>
      </c>
      <c r="K122" t="s">
        <v>728</v>
      </c>
      <c r="L122" t="s">
        <v>577</v>
      </c>
      <c r="M122" t="s">
        <v>577</v>
      </c>
      <c r="N122">
        <v>2024</v>
      </c>
      <c r="O122" t="s">
        <v>150</v>
      </c>
      <c r="P122" t="s">
        <v>729</v>
      </c>
      <c r="Q122" t="s">
        <v>917</v>
      </c>
      <c r="R122" t="s">
        <v>17</v>
      </c>
      <c r="S122" t="str">
        <f t="shared" si="5"/>
        <v>2024-1315</v>
      </c>
      <c r="AO122" s="40"/>
      <c r="AP122" s="40"/>
      <c r="AQ122" s="41">
        <v>46057</v>
      </c>
      <c r="AR122" s="40">
        <v>44587.529664351852</v>
      </c>
    </row>
    <row r="123" spans="1:44" x14ac:dyDescent="0.25">
      <c r="A123">
        <v>1316</v>
      </c>
      <c r="B123" t="s">
        <v>87</v>
      </c>
      <c r="C123" t="s">
        <v>587</v>
      </c>
      <c r="D123" t="s">
        <v>582</v>
      </c>
      <c r="E123" t="s">
        <v>585</v>
      </c>
      <c r="F123" t="s">
        <v>585</v>
      </c>
      <c r="G123" t="s">
        <v>24</v>
      </c>
      <c r="H123" t="s">
        <v>21</v>
      </c>
      <c r="I123" t="s">
        <v>16</v>
      </c>
      <c r="J123" t="s">
        <v>20</v>
      </c>
      <c r="K123" t="s">
        <v>728</v>
      </c>
      <c r="L123" t="s">
        <v>578</v>
      </c>
      <c r="M123" t="s">
        <v>583</v>
      </c>
      <c r="N123">
        <v>2024</v>
      </c>
      <c r="O123" t="s">
        <v>150</v>
      </c>
      <c r="P123">
        <v>5</v>
      </c>
      <c r="Q123" t="s">
        <v>917</v>
      </c>
      <c r="R123" t="s">
        <v>17</v>
      </c>
      <c r="S123" t="str">
        <f t="shared" si="5"/>
        <v>2024-1316</v>
      </c>
      <c r="AO123" s="40"/>
      <c r="AP123" s="40"/>
      <c r="AQ123" s="41">
        <v>46057</v>
      </c>
      <c r="AR123" s="40">
        <v>44587.531226851854</v>
      </c>
    </row>
    <row r="124" spans="1:44" x14ac:dyDescent="0.25">
      <c r="A124">
        <v>1317</v>
      </c>
      <c r="B124" t="s">
        <v>87</v>
      </c>
      <c r="C124" t="s">
        <v>588</v>
      </c>
      <c r="D124" t="s">
        <v>582</v>
      </c>
      <c r="E124" t="s">
        <v>585</v>
      </c>
      <c r="F124" t="s">
        <v>585</v>
      </c>
      <c r="G124" t="s">
        <v>24</v>
      </c>
      <c r="H124" t="s">
        <v>21</v>
      </c>
      <c r="I124" t="s">
        <v>16</v>
      </c>
      <c r="J124" t="s">
        <v>20</v>
      </c>
      <c r="K124" t="s">
        <v>728</v>
      </c>
      <c r="L124" t="s">
        <v>583</v>
      </c>
      <c r="M124" t="s">
        <v>589</v>
      </c>
      <c r="N124">
        <v>2024</v>
      </c>
      <c r="O124" t="s">
        <v>150</v>
      </c>
      <c r="P124">
        <v>6</v>
      </c>
      <c r="Q124" t="s">
        <v>917</v>
      </c>
      <c r="R124" t="s">
        <v>17</v>
      </c>
      <c r="S124" t="str">
        <f t="shared" si="5"/>
        <v>2024-1317</v>
      </c>
      <c r="AO124" s="40"/>
      <c r="AP124" s="40"/>
      <c r="AQ124" s="41">
        <v>46057</v>
      </c>
      <c r="AR124" s="40">
        <v>44587.531597222223</v>
      </c>
    </row>
    <row r="125" spans="1:44" x14ac:dyDescent="0.25">
      <c r="A125">
        <v>1318</v>
      </c>
      <c r="B125" t="s">
        <v>87</v>
      </c>
      <c r="C125" t="s">
        <v>590</v>
      </c>
      <c r="D125" t="s">
        <v>591</v>
      </c>
      <c r="E125" t="s">
        <v>585</v>
      </c>
      <c r="F125" t="s">
        <v>585</v>
      </c>
      <c r="G125" t="s">
        <v>24</v>
      </c>
      <c r="H125" t="s">
        <v>21</v>
      </c>
      <c r="I125" t="s">
        <v>16</v>
      </c>
      <c r="J125" t="s">
        <v>20</v>
      </c>
      <c r="K125" t="s">
        <v>728</v>
      </c>
      <c r="L125" t="s">
        <v>583</v>
      </c>
      <c r="M125" t="s">
        <v>592</v>
      </c>
      <c r="N125">
        <v>2024</v>
      </c>
      <c r="O125" t="s">
        <v>150</v>
      </c>
      <c r="P125">
        <v>12.5</v>
      </c>
      <c r="Q125" t="s">
        <v>917</v>
      </c>
      <c r="R125" t="s">
        <v>17</v>
      </c>
      <c r="S125" t="str">
        <f t="shared" si="5"/>
        <v>2024-1318</v>
      </c>
      <c r="AO125" s="40"/>
      <c r="AP125" s="40"/>
      <c r="AQ125" s="41">
        <v>46057</v>
      </c>
      <c r="AR125" s="40">
        <v>44587.532395833332</v>
      </c>
    </row>
    <row r="126" spans="1:44" x14ac:dyDescent="0.25">
      <c r="A126">
        <v>1319</v>
      </c>
      <c r="B126" t="s">
        <v>87</v>
      </c>
      <c r="C126" t="s">
        <v>593</v>
      </c>
      <c r="D126" t="s">
        <v>582</v>
      </c>
      <c r="E126" t="s">
        <v>153</v>
      </c>
      <c r="F126" t="s">
        <v>594</v>
      </c>
      <c r="G126" t="s">
        <v>24</v>
      </c>
      <c r="H126" t="s">
        <v>21</v>
      </c>
      <c r="I126" t="s">
        <v>16</v>
      </c>
      <c r="J126" t="s">
        <v>20</v>
      </c>
      <c r="K126" t="s">
        <v>18</v>
      </c>
      <c r="L126" t="s">
        <v>595</v>
      </c>
      <c r="M126" t="s">
        <v>596</v>
      </c>
      <c r="N126">
        <v>2026</v>
      </c>
      <c r="O126" t="s">
        <v>150</v>
      </c>
      <c r="P126">
        <v>0.5</v>
      </c>
      <c r="Q126" t="s">
        <v>917</v>
      </c>
      <c r="R126" t="s">
        <v>17</v>
      </c>
      <c r="S126" t="str">
        <f t="shared" si="5"/>
        <v>2026-1319</v>
      </c>
      <c r="AO126" s="40"/>
      <c r="AP126" s="40"/>
      <c r="AQ126" s="41">
        <v>46057</v>
      </c>
      <c r="AR126" s="40">
        <v>44551.60628472222</v>
      </c>
    </row>
    <row r="127" spans="1:44" x14ac:dyDescent="0.25">
      <c r="A127">
        <v>1320</v>
      </c>
      <c r="B127" t="s">
        <v>87</v>
      </c>
      <c r="C127" t="s">
        <v>597</v>
      </c>
      <c r="D127" t="s">
        <v>582</v>
      </c>
      <c r="E127" t="s">
        <v>375</v>
      </c>
      <c r="F127" t="s">
        <v>375</v>
      </c>
      <c r="G127" t="s">
        <v>24</v>
      </c>
      <c r="H127" t="s">
        <v>21</v>
      </c>
      <c r="I127" t="s">
        <v>16</v>
      </c>
      <c r="J127" t="s">
        <v>20</v>
      </c>
      <c r="K127" t="s">
        <v>728</v>
      </c>
      <c r="L127" t="s">
        <v>586</v>
      </c>
      <c r="M127" t="s">
        <v>576</v>
      </c>
      <c r="N127">
        <v>2024</v>
      </c>
      <c r="O127" t="s">
        <v>150</v>
      </c>
      <c r="P127">
        <v>5</v>
      </c>
      <c r="Q127" t="s">
        <v>917</v>
      </c>
      <c r="R127" t="s">
        <v>17</v>
      </c>
      <c r="S127" t="str">
        <f t="shared" si="5"/>
        <v>2024-1320</v>
      </c>
      <c r="AO127" s="40"/>
      <c r="AP127" s="40"/>
      <c r="AQ127" s="41">
        <v>46057</v>
      </c>
      <c r="AR127" s="40">
        <v>44587.532708333332</v>
      </c>
    </row>
    <row r="128" spans="1:44" x14ac:dyDescent="0.25">
      <c r="A128">
        <v>1321</v>
      </c>
      <c r="B128" t="s">
        <v>87</v>
      </c>
      <c r="C128" t="s">
        <v>598</v>
      </c>
      <c r="D128" t="s">
        <v>582</v>
      </c>
      <c r="E128" t="s">
        <v>375</v>
      </c>
      <c r="F128" t="s">
        <v>375</v>
      </c>
      <c r="G128" t="s">
        <v>24</v>
      </c>
      <c r="H128" t="s">
        <v>21</v>
      </c>
      <c r="I128" t="s">
        <v>16</v>
      </c>
      <c r="J128" t="s">
        <v>20</v>
      </c>
      <c r="K128" t="s">
        <v>728</v>
      </c>
      <c r="L128" t="s">
        <v>586</v>
      </c>
      <c r="M128" t="s">
        <v>580</v>
      </c>
      <c r="N128">
        <v>2024</v>
      </c>
      <c r="O128" t="s">
        <v>150</v>
      </c>
      <c r="P128">
        <v>3</v>
      </c>
      <c r="Q128" t="s">
        <v>917</v>
      </c>
      <c r="R128" t="s">
        <v>17</v>
      </c>
      <c r="S128" t="str">
        <f t="shared" si="5"/>
        <v>2024-1321</v>
      </c>
      <c r="AO128" s="40"/>
      <c r="AP128" s="40"/>
      <c r="AQ128" s="41">
        <v>46057</v>
      </c>
      <c r="AR128" s="40">
        <v>44587.53324074074</v>
      </c>
    </row>
    <row r="129" spans="1:44" x14ac:dyDescent="0.25">
      <c r="A129">
        <v>1322</v>
      </c>
      <c r="B129" t="s">
        <v>87</v>
      </c>
      <c r="C129" t="s">
        <v>599</v>
      </c>
      <c r="D129" t="s">
        <v>600</v>
      </c>
      <c r="E129" t="s">
        <v>375</v>
      </c>
      <c r="F129" t="s">
        <v>375</v>
      </c>
      <c r="G129" t="s">
        <v>24</v>
      </c>
      <c r="H129" t="s">
        <v>21</v>
      </c>
      <c r="I129" t="s">
        <v>19</v>
      </c>
      <c r="J129" t="s">
        <v>30</v>
      </c>
      <c r="K129" t="s">
        <v>728</v>
      </c>
      <c r="L129" t="s">
        <v>971</v>
      </c>
      <c r="M129" t="s">
        <v>21</v>
      </c>
      <c r="N129">
        <v>2026</v>
      </c>
      <c r="O129" t="s">
        <v>150</v>
      </c>
      <c r="P129" t="s">
        <v>729</v>
      </c>
      <c r="Q129" t="s">
        <v>931</v>
      </c>
      <c r="R129" t="s">
        <v>17</v>
      </c>
      <c r="S129" t="str">
        <f t="shared" si="5"/>
        <v>2026-1322</v>
      </c>
      <c r="AO129" s="40"/>
      <c r="AP129" s="40"/>
      <c r="AQ129" s="41">
        <v>46057</v>
      </c>
      <c r="AR129" s="40">
        <v>44587.533506944441</v>
      </c>
    </row>
    <row r="130" spans="1:44" x14ac:dyDescent="0.25">
      <c r="A130">
        <v>1323</v>
      </c>
      <c r="B130" t="s">
        <v>87</v>
      </c>
      <c r="C130" t="s">
        <v>601</v>
      </c>
      <c r="D130" t="s">
        <v>972</v>
      </c>
      <c r="E130" t="s">
        <v>375</v>
      </c>
      <c r="F130" t="s">
        <v>375</v>
      </c>
      <c r="G130" t="s">
        <v>24</v>
      </c>
      <c r="H130" t="s">
        <v>21</v>
      </c>
      <c r="I130" t="s">
        <v>19</v>
      </c>
      <c r="J130" t="s">
        <v>30</v>
      </c>
      <c r="K130" t="s">
        <v>728</v>
      </c>
      <c r="L130" t="s">
        <v>577</v>
      </c>
      <c r="M130" t="s">
        <v>577</v>
      </c>
      <c r="N130">
        <v>2026</v>
      </c>
      <c r="O130" t="s">
        <v>150</v>
      </c>
      <c r="P130" t="s">
        <v>729</v>
      </c>
      <c r="Q130" t="s">
        <v>917</v>
      </c>
      <c r="R130" t="s">
        <v>17</v>
      </c>
      <c r="S130" t="str">
        <f t="shared" si="5"/>
        <v>2026-1323</v>
      </c>
      <c r="AO130" s="40"/>
      <c r="AP130" s="40"/>
      <c r="AQ130" s="41">
        <v>46057</v>
      </c>
      <c r="AR130" s="40">
        <v>44587.535092592596</v>
      </c>
    </row>
    <row r="131" spans="1:44" x14ac:dyDescent="0.25">
      <c r="A131">
        <v>1324</v>
      </c>
      <c r="B131" t="s">
        <v>87</v>
      </c>
      <c r="C131" t="s">
        <v>602</v>
      </c>
      <c r="D131" t="s">
        <v>603</v>
      </c>
      <c r="E131" t="s">
        <v>375</v>
      </c>
      <c r="F131" t="s">
        <v>375</v>
      </c>
      <c r="G131" t="s">
        <v>24</v>
      </c>
      <c r="H131" t="s">
        <v>21</v>
      </c>
      <c r="I131" t="s">
        <v>16</v>
      </c>
      <c r="J131" t="s">
        <v>30</v>
      </c>
      <c r="K131" t="s">
        <v>728</v>
      </c>
      <c r="L131" t="s">
        <v>601</v>
      </c>
      <c r="M131" t="s">
        <v>599</v>
      </c>
      <c r="N131">
        <v>2026</v>
      </c>
      <c r="O131" t="s">
        <v>150</v>
      </c>
      <c r="P131">
        <v>85</v>
      </c>
      <c r="Q131" t="s">
        <v>917</v>
      </c>
      <c r="R131" t="s">
        <v>17</v>
      </c>
      <c r="S131" t="str">
        <f t="shared" si="5"/>
        <v>2026-1324</v>
      </c>
      <c r="AO131" s="40"/>
      <c r="AP131" s="40"/>
      <c r="AQ131" s="41">
        <v>46057</v>
      </c>
      <c r="AR131" s="40">
        <v>44587.535428240742</v>
      </c>
    </row>
    <row r="132" spans="1:44" x14ac:dyDescent="0.25">
      <c r="A132">
        <v>1325</v>
      </c>
      <c r="B132" t="s">
        <v>87</v>
      </c>
      <c r="C132" t="s">
        <v>604</v>
      </c>
      <c r="D132" t="s">
        <v>972</v>
      </c>
      <c r="E132" t="s">
        <v>375</v>
      </c>
      <c r="F132" t="s">
        <v>375</v>
      </c>
      <c r="G132" t="s">
        <v>24</v>
      </c>
      <c r="H132" t="s">
        <v>21</v>
      </c>
      <c r="I132" t="s">
        <v>19</v>
      </c>
      <c r="J132" t="s">
        <v>30</v>
      </c>
      <c r="K132" t="s">
        <v>728</v>
      </c>
      <c r="L132" t="s">
        <v>605</v>
      </c>
      <c r="M132" t="s">
        <v>605</v>
      </c>
      <c r="N132">
        <v>2026</v>
      </c>
      <c r="O132" t="s">
        <v>150</v>
      </c>
      <c r="P132" t="s">
        <v>729</v>
      </c>
      <c r="Q132" t="s">
        <v>917</v>
      </c>
      <c r="R132" t="s">
        <v>17</v>
      </c>
      <c r="S132" t="str">
        <f t="shared" si="5"/>
        <v>2026-1325</v>
      </c>
      <c r="AO132" s="40"/>
      <c r="AP132" s="40"/>
      <c r="AQ132" s="41">
        <v>46057</v>
      </c>
      <c r="AR132" s="40">
        <v>44587.535682870373</v>
      </c>
    </row>
    <row r="133" spans="1:44" x14ac:dyDescent="0.25">
      <c r="A133">
        <v>1326</v>
      </c>
      <c r="B133" t="s">
        <v>87</v>
      </c>
      <c r="C133" t="s">
        <v>606</v>
      </c>
      <c r="D133" t="s">
        <v>603</v>
      </c>
      <c r="E133" t="s">
        <v>375</v>
      </c>
      <c r="F133" t="s">
        <v>375</v>
      </c>
      <c r="G133" t="s">
        <v>24</v>
      </c>
      <c r="H133" t="s">
        <v>21</v>
      </c>
      <c r="I133" t="s">
        <v>16</v>
      </c>
      <c r="J133" t="s">
        <v>30</v>
      </c>
      <c r="K133" t="s">
        <v>728</v>
      </c>
      <c r="L133" t="s">
        <v>604</v>
      </c>
      <c r="M133" t="s">
        <v>601</v>
      </c>
      <c r="N133">
        <v>2026</v>
      </c>
      <c r="O133" t="s">
        <v>150</v>
      </c>
      <c r="P133">
        <v>14</v>
      </c>
      <c r="Q133" t="s">
        <v>917</v>
      </c>
      <c r="R133" t="s">
        <v>17</v>
      </c>
      <c r="S133" t="str">
        <f t="shared" si="5"/>
        <v>2026-1326</v>
      </c>
      <c r="AO133" s="40"/>
      <c r="AP133" s="40"/>
      <c r="AQ133" s="41">
        <v>46057</v>
      </c>
      <c r="AR133" s="40">
        <v>44587.53597222222</v>
      </c>
    </row>
    <row r="134" spans="1:44" x14ac:dyDescent="0.25">
      <c r="A134">
        <v>1327</v>
      </c>
      <c r="B134" t="s">
        <v>87</v>
      </c>
      <c r="C134" t="s">
        <v>607</v>
      </c>
      <c r="D134" t="s">
        <v>603</v>
      </c>
      <c r="E134" t="s">
        <v>375</v>
      </c>
      <c r="F134" t="s">
        <v>375</v>
      </c>
      <c r="G134" t="s">
        <v>24</v>
      </c>
      <c r="H134" t="s">
        <v>21</v>
      </c>
      <c r="I134" t="s">
        <v>16</v>
      </c>
      <c r="J134" t="s">
        <v>30</v>
      </c>
      <c r="K134" t="s">
        <v>728</v>
      </c>
      <c r="L134" t="s">
        <v>604</v>
      </c>
      <c r="M134" t="s">
        <v>608</v>
      </c>
      <c r="N134">
        <v>2026</v>
      </c>
      <c r="O134" t="s">
        <v>150</v>
      </c>
      <c r="P134">
        <v>148</v>
      </c>
      <c r="Q134" t="s">
        <v>917</v>
      </c>
      <c r="R134" t="s">
        <v>17</v>
      </c>
      <c r="S134" t="str">
        <f t="shared" si="5"/>
        <v>2026-1327</v>
      </c>
      <c r="AO134" s="40"/>
      <c r="AP134" s="40"/>
      <c r="AQ134" s="41">
        <v>46057</v>
      </c>
      <c r="AR134" s="40">
        <v>44587.536273148151</v>
      </c>
    </row>
    <row r="135" spans="1:44" x14ac:dyDescent="0.25">
      <c r="A135">
        <v>1328</v>
      </c>
      <c r="B135" t="s">
        <v>65</v>
      </c>
      <c r="C135" t="s">
        <v>696</v>
      </c>
      <c r="D135" t="s">
        <v>703</v>
      </c>
      <c r="E135" t="s">
        <v>611</v>
      </c>
      <c r="F135" t="s">
        <v>296</v>
      </c>
      <c r="G135" t="s">
        <v>17</v>
      </c>
      <c r="H135" t="s">
        <v>612</v>
      </c>
      <c r="I135" t="s">
        <v>16</v>
      </c>
      <c r="J135" t="s">
        <v>27</v>
      </c>
      <c r="K135" t="s">
        <v>1110</v>
      </c>
      <c r="L135" t="s">
        <v>613</v>
      </c>
      <c r="M135" t="s">
        <v>614</v>
      </c>
      <c r="N135">
        <v>2027</v>
      </c>
      <c r="O135" t="s">
        <v>150</v>
      </c>
      <c r="P135">
        <v>550</v>
      </c>
      <c r="Q135" t="s">
        <v>730</v>
      </c>
      <c r="R135" t="s">
        <v>17</v>
      </c>
      <c r="S135" t="str">
        <f t="shared" si="5"/>
        <v>2027-1328</v>
      </c>
      <c r="AO135" s="40"/>
      <c r="AP135" s="40"/>
      <c r="AQ135" s="41">
        <v>46062</v>
      </c>
      <c r="AR135" s="40">
        <v>44588.449791666666</v>
      </c>
    </row>
    <row r="136" spans="1:44" x14ac:dyDescent="0.25">
      <c r="A136">
        <v>1329</v>
      </c>
      <c r="B136" t="s">
        <v>65</v>
      </c>
      <c r="C136" t="s">
        <v>698</v>
      </c>
      <c r="D136" t="s">
        <v>705</v>
      </c>
      <c r="E136" t="s">
        <v>715</v>
      </c>
      <c r="F136" t="s">
        <v>594</v>
      </c>
      <c r="G136" t="s">
        <v>24</v>
      </c>
      <c r="H136" t="s">
        <v>21</v>
      </c>
      <c r="I136" t="s">
        <v>19</v>
      </c>
      <c r="J136" t="s">
        <v>30</v>
      </c>
      <c r="K136" t="s">
        <v>1110</v>
      </c>
      <c r="L136" t="s">
        <v>615</v>
      </c>
      <c r="M136" t="s">
        <v>615</v>
      </c>
      <c r="N136">
        <v>2024</v>
      </c>
      <c r="O136" t="s">
        <v>150</v>
      </c>
      <c r="P136" t="s">
        <v>729</v>
      </c>
      <c r="Q136" t="s">
        <v>730</v>
      </c>
      <c r="R136" t="s">
        <v>17</v>
      </c>
      <c r="S136" t="str">
        <f t="shared" si="5"/>
        <v>2024-1329</v>
      </c>
      <c r="AO136" s="40"/>
      <c r="AP136" s="40"/>
      <c r="AQ136" s="41">
        <v>46062</v>
      </c>
      <c r="AR136" s="40">
        <v>44588.450439814813</v>
      </c>
    </row>
    <row r="137" spans="1:44" x14ac:dyDescent="0.25">
      <c r="A137">
        <v>1330</v>
      </c>
      <c r="B137" t="s">
        <v>65</v>
      </c>
      <c r="C137" t="s">
        <v>616</v>
      </c>
      <c r="D137" t="s">
        <v>617</v>
      </c>
      <c r="E137" t="s">
        <v>618</v>
      </c>
      <c r="F137" t="s">
        <v>153</v>
      </c>
      <c r="G137" t="s">
        <v>24</v>
      </c>
      <c r="H137" t="s">
        <v>21</v>
      </c>
      <c r="I137" t="s">
        <v>16</v>
      </c>
      <c r="J137" t="s">
        <v>30</v>
      </c>
      <c r="K137" t="s">
        <v>18</v>
      </c>
      <c r="L137" t="s">
        <v>619</v>
      </c>
      <c r="M137" t="s">
        <v>620</v>
      </c>
      <c r="N137">
        <v>2026</v>
      </c>
      <c r="O137" t="s">
        <v>150</v>
      </c>
      <c r="P137" t="s">
        <v>22</v>
      </c>
      <c r="Q137" t="s">
        <v>730</v>
      </c>
      <c r="R137" t="s">
        <v>17</v>
      </c>
      <c r="S137" t="str">
        <f t="shared" si="5"/>
        <v>2026-1330</v>
      </c>
      <c r="AO137" s="40">
        <v>45309.332025462965</v>
      </c>
      <c r="AP137" s="40"/>
      <c r="AQ137" s="41">
        <v>45324</v>
      </c>
      <c r="AR137" s="40">
        <v>44588.450914351852</v>
      </c>
    </row>
    <row r="138" spans="1:44" x14ac:dyDescent="0.25">
      <c r="A138">
        <v>1331</v>
      </c>
      <c r="B138" t="s">
        <v>65</v>
      </c>
      <c r="C138" t="s">
        <v>697</v>
      </c>
      <c r="D138" t="s">
        <v>704</v>
      </c>
      <c r="E138" t="s">
        <v>621</v>
      </c>
      <c r="F138" t="s">
        <v>594</v>
      </c>
      <c r="G138" t="s">
        <v>24</v>
      </c>
      <c r="H138" t="s">
        <v>21</v>
      </c>
      <c r="I138" t="s">
        <v>19</v>
      </c>
      <c r="J138" t="s">
        <v>30</v>
      </c>
      <c r="K138" t="s">
        <v>1110</v>
      </c>
      <c r="L138" t="s">
        <v>54</v>
      </c>
      <c r="M138" t="s">
        <v>54</v>
      </c>
      <c r="N138">
        <v>2023</v>
      </c>
      <c r="O138" t="s">
        <v>150</v>
      </c>
      <c r="P138" t="s">
        <v>729</v>
      </c>
      <c r="Q138" t="s">
        <v>730</v>
      </c>
      <c r="R138" t="s">
        <v>17</v>
      </c>
      <c r="S138" t="str">
        <f t="shared" si="5"/>
        <v>2023-1331</v>
      </c>
      <c r="AO138" s="40"/>
      <c r="AP138" s="40"/>
      <c r="AQ138" s="41">
        <v>46062</v>
      </c>
      <c r="AR138" s="40">
        <v>44588.451435185183</v>
      </c>
    </row>
    <row r="139" spans="1:44" x14ac:dyDescent="0.25">
      <c r="A139">
        <v>1332</v>
      </c>
      <c r="B139" t="s">
        <v>166</v>
      </c>
      <c r="C139" t="s">
        <v>1187</v>
      </c>
      <c r="D139" t="s">
        <v>1188</v>
      </c>
      <c r="E139" t="s">
        <v>273</v>
      </c>
      <c r="F139" t="s">
        <v>153</v>
      </c>
      <c r="G139" t="s">
        <v>24</v>
      </c>
      <c r="H139" t="s">
        <v>21</v>
      </c>
      <c r="I139" t="s">
        <v>19</v>
      </c>
      <c r="J139" t="s">
        <v>14</v>
      </c>
      <c r="K139" t="s">
        <v>18</v>
      </c>
      <c r="L139" t="s">
        <v>1189</v>
      </c>
      <c r="M139" t="s">
        <v>21</v>
      </c>
      <c r="N139">
        <v>2027</v>
      </c>
      <c r="O139" t="s">
        <v>133</v>
      </c>
      <c r="P139" t="s">
        <v>729</v>
      </c>
      <c r="Q139" t="s">
        <v>727</v>
      </c>
      <c r="R139" t="s">
        <v>17</v>
      </c>
      <c r="S139" t="str">
        <f t="shared" si="5"/>
        <v>2027-1332</v>
      </c>
      <c r="AO139" s="40"/>
      <c r="AP139" s="40"/>
      <c r="AQ139" s="41">
        <v>46062</v>
      </c>
      <c r="AR139" s="40">
        <v>44572.623356481483</v>
      </c>
    </row>
    <row r="140" spans="1:44" x14ac:dyDescent="0.25">
      <c r="A140">
        <v>1333</v>
      </c>
      <c r="B140" t="s">
        <v>166</v>
      </c>
      <c r="C140" t="s">
        <v>1190</v>
      </c>
      <c r="D140" t="s">
        <v>643</v>
      </c>
      <c r="E140" t="s">
        <v>273</v>
      </c>
      <c r="F140" t="s">
        <v>153</v>
      </c>
      <c r="G140" t="s">
        <v>24</v>
      </c>
      <c r="H140" t="s">
        <v>21</v>
      </c>
      <c r="I140" t="s">
        <v>19</v>
      </c>
      <c r="J140" t="s">
        <v>14</v>
      </c>
      <c r="K140" t="s">
        <v>33</v>
      </c>
      <c r="L140" t="s">
        <v>1191</v>
      </c>
      <c r="M140" t="s">
        <v>21</v>
      </c>
      <c r="N140" t="s">
        <v>22</v>
      </c>
      <c r="O140" t="s">
        <v>133</v>
      </c>
      <c r="P140" t="s">
        <v>729</v>
      </c>
      <c r="Q140" t="s">
        <v>727</v>
      </c>
      <c r="R140" t="s">
        <v>17</v>
      </c>
      <c r="S140" t="str">
        <f t="shared" si="5"/>
        <v>TBD-1333</v>
      </c>
      <c r="AO140" s="40"/>
      <c r="AP140" s="40"/>
      <c r="AQ140" s="41">
        <v>46062</v>
      </c>
      <c r="AR140" s="40">
        <v>44572.625740740739</v>
      </c>
    </row>
    <row r="141" spans="1:44" x14ac:dyDescent="0.25">
      <c r="A141">
        <v>1335</v>
      </c>
      <c r="B141" t="s">
        <v>166</v>
      </c>
      <c r="C141" t="s">
        <v>644</v>
      </c>
      <c r="D141" t="s">
        <v>645</v>
      </c>
      <c r="E141" t="s">
        <v>353</v>
      </c>
      <c r="F141" t="s">
        <v>153</v>
      </c>
      <c r="G141" t="s">
        <v>24</v>
      </c>
      <c r="H141" t="s">
        <v>21</v>
      </c>
      <c r="I141" t="s">
        <v>19</v>
      </c>
      <c r="J141" t="s">
        <v>14</v>
      </c>
      <c r="K141" t="s">
        <v>728</v>
      </c>
      <c r="L141" t="s">
        <v>646</v>
      </c>
      <c r="M141" t="s">
        <v>646</v>
      </c>
      <c r="N141">
        <v>2026</v>
      </c>
      <c r="O141" t="s">
        <v>133</v>
      </c>
      <c r="P141" t="s">
        <v>729</v>
      </c>
      <c r="Q141" t="s">
        <v>727</v>
      </c>
      <c r="R141" t="s">
        <v>17</v>
      </c>
      <c r="S141" t="str">
        <f t="shared" si="5"/>
        <v>2026-1335</v>
      </c>
      <c r="AO141" s="40"/>
      <c r="AP141" s="40"/>
      <c r="AQ141" s="41">
        <v>46062</v>
      </c>
      <c r="AR141" s="40">
        <v>44572.63175925926</v>
      </c>
    </row>
    <row r="142" spans="1:44" x14ac:dyDescent="0.25">
      <c r="A142">
        <v>1336</v>
      </c>
      <c r="B142" t="s">
        <v>166</v>
      </c>
      <c r="C142" t="s">
        <v>1192</v>
      </c>
      <c r="D142" t="s">
        <v>1192</v>
      </c>
      <c r="E142" t="s">
        <v>153</v>
      </c>
      <c r="F142" t="s">
        <v>153</v>
      </c>
      <c r="G142" t="s">
        <v>24</v>
      </c>
      <c r="H142" t="s">
        <v>21</v>
      </c>
      <c r="I142" t="s">
        <v>19</v>
      </c>
      <c r="J142" t="s">
        <v>30</v>
      </c>
      <c r="K142" t="s">
        <v>18</v>
      </c>
      <c r="L142" t="s">
        <v>1193</v>
      </c>
      <c r="M142" t="s">
        <v>1193</v>
      </c>
      <c r="N142">
        <v>2026</v>
      </c>
      <c r="O142" t="s">
        <v>133</v>
      </c>
      <c r="P142" t="s">
        <v>729</v>
      </c>
      <c r="Q142" t="s">
        <v>727</v>
      </c>
      <c r="R142" t="s">
        <v>17</v>
      </c>
      <c r="S142" t="str">
        <f t="shared" si="5"/>
        <v>2026-1336</v>
      </c>
      <c r="AO142" s="40"/>
      <c r="AP142" s="40"/>
      <c r="AQ142" s="41">
        <v>46062</v>
      </c>
      <c r="AR142" s="40">
        <v>44587.303946759261</v>
      </c>
    </row>
    <row r="143" spans="1:44" x14ac:dyDescent="0.25">
      <c r="A143">
        <v>1337</v>
      </c>
      <c r="B143" t="s">
        <v>166</v>
      </c>
      <c r="C143" t="s">
        <v>1194</v>
      </c>
      <c r="D143" t="s">
        <v>1194</v>
      </c>
      <c r="E143" t="s">
        <v>153</v>
      </c>
      <c r="F143" t="s">
        <v>153</v>
      </c>
      <c r="G143" t="s">
        <v>24</v>
      </c>
      <c r="H143" t="s">
        <v>21</v>
      </c>
      <c r="I143" t="s">
        <v>19</v>
      </c>
      <c r="J143" t="s">
        <v>30</v>
      </c>
      <c r="K143" t="s">
        <v>18</v>
      </c>
      <c r="L143" t="s">
        <v>1195</v>
      </c>
      <c r="M143" t="s">
        <v>1195</v>
      </c>
      <c r="N143">
        <v>2026</v>
      </c>
      <c r="O143" t="s">
        <v>133</v>
      </c>
      <c r="P143" t="s">
        <v>729</v>
      </c>
      <c r="Q143" t="s">
        <v>727</v>
      </c>
      <c r="R143" t="s">
        <v>17</v>
      </c>
      <c r="S143" t="str">
        <f t="shared" si="5"/>
        <v>2026-1337</v>
      </c>
      <c r="AO143" s="40"/>
      <c r="AP143" s="40"/>
      <c r="AQ143" s="41">
        <v>46062</v>
      </c>
      <c r="AR143" s="40">
        <v>44587.304236111115</v>
      </c>
    </row>
    <row r="144" spans="1:44" x14ac:dyDescent="0.25">
      <c r="A144">
        <v>1338</v>
      </c>
      <c r="B144" t="s">
        <v>166</v>
      </c>
      <c r="C144" t="s">
        <v>1196</v>
      </c>
      <c r="D144" t="s">
        <v>1196</v>
      </c>
      <c r="E144" t="s">
        <v>153</v>
      </c>
      <c r="F144" t="s">
        <v>153</v>
      </c>
      <c r="G144" t="s">
        <v>24</v>
      </c>
      <c r="H144" t="s">
        <v>21</v>
      </c>
      <c r="I144" t="s">
        <v>19</v>
      </c>
      <c r="J144" t="s">
        <v>30</v>
      </c>
      <c r="K144" t="s">
        <v>18</v>
      </c>
      <c r="L144" t="s">
        <v>1197</v>
      </c>
      <c r="M144" t="s">
        <v>1197</v>
      </c>
      <c r="N144">
        <v>2027</v>
      </c>
      <c r="O144" t="s">
        <v>133</v>
      </c>
      <c r="P144" t="s">
        <v>729</v>
      </c>
      <c r="Q144" t="s">
        <v>727</v>
      </c>
      <c r="R144" t="s">
        <v>17</v>
      </c>
      <c r="S144" t="str">
        <f t="shared" si="5"/>
        <v>2027-1338</v>
      </c>
      <c r="AO144" s="40"/>
      <c r="AP144" s="40"/>
      <c r="AQ144" s="41">
        <v>46062</v>
      </c>
      <c r="AR144" s="40">
        <v>44587.304363425923</v>
      </c>
    </row>
    <row r="145" spans="1:44" x14ac:dyDescent="0.25">
      <c r="A145">
        <v>1339</v>
      </c>
      <c r="B145" t="s">
        <v>166</v>
      </c>
      <c r="C145" t="s">
        <v>1198</v>
      </c>
      <c r="D145" t="s">
        <v>1198</v>
      </c>
      <c r="E145" t="s">
        <v>153</v>
      </c>
      <c r="F145" t="s">
        <v>153</v>
      </c>
      <c r="G145" t="s">
        <v>24</v>
      </c>
      <c r="H145" t="s">
        <v>21</v>
      </c>
      <c r="I145" t="s">
        <v>16</v>
      </c>
      <c r="J145" t="s">
        <v>30</v>
      </c>
      <c r="K145" t="s">
        <v>18</v>
      </c>
      <c r="L145" t="s">
        <v>1193</v>
      </c>
      <c r="M145" t="s">
        <v>1199</v>
      </c>
      <c r="N145">
        <v>2026</v>
      </c>
      <c r="O145" t="s">
        <v>133</v>
      </c>
      <c r="P145">
        <v>35</v>
      </c>
      <c r="Q145" t="s">
        <v>727</v>
      </c>
      <c r="R145" t="s">
        <v>17</v>
      </c>
      <c r="S145" t="str">
        <f t="shared" si="5"/>
        <v>2026-1339</v>
      </c>
      <c r="AO145" s="40"/>
      <c r="AP145" s="40"/>
      <c r="AQ145" s="41">
        <v>46062</v>
      </c>
      <c r="AR145" s="40">
        <v>44587.304560185185</v>
      </c>
    </row>
    <row r="146" spans="1:44" x14ac:dyDescent="0.25">
      <c r="A146">
        <v>1340</v>
      </c>
      <c r="B146" t="s">
        <v>166</v>
      </c>
      <c r="C146" t="s">
        <v>1200</v>
      </c>
      <c r="D146" t="s">
        <v>1200</v>
      </c>
      <c r="E146" t="s">
        <v>153</v>
      </c>
      <c r="F146" t="s">
        <v>153</v>
      </c>
      <c r="G146" t="s">
        <v>24</v>
      </c>
      <c r="H146" t="s">
        <v>21</v>
      </c>
      <c r="I146" t="s">
        <v>16</v>
      </c>
      <c r="J146" t="s">
        <v>30</v>
      </c>
      <c r="K146" t="s">
        <v>18</v>
      </c>
      <c r="L146" t="s">
        <v>1199</v>
      </c>
      <c r="M146" t="s">
        <v>1197</v>
      </c>
      <c r="N146">
        <v>2027</v>
      </c>
      <c r="O146" t="s">
        <v>133</v>
      </c>
      <c r="P146">
        <v>28</v>
      </c>
      <c r="Q146" t="s">
        <v>727</v>
      </c>
      <c r="R146" t="s">
        <v>17</v>
      </c>
      <c r="S146" t="str">
        <f t="shared" si="5"/>
        <v>2027-1340</v>
      </c>
      <c r="AO146" s="40"/>
      <c r="AP146" s="40"/>
      <c r="AQ146" s="41">
        <v>46062</v>
      </c>
      <c r="AR146" s="40">
        <v>44587.304780092592</v>
      </c>
    </row>
    <row r="147" spans="1:44" x14ac:dyDescent="0.25">
      <c r="A147">
        <v>1341</v>
      </c>
      <c r="B147" t="s">
        <v>166</v>
      </c>
      <c r="C147" t="s">
        <v>1201</v>
      </c>
      <c r="D147" t="s">
        <v>1202</v>
      </c>
      <c r="E147" t="s">
        <v>153</v>
      </c>
      <c r="F147" t="s">
        <v>153</v>
      </c>
      <c r="G147" t="s">
        <v>24</v>
      </c>
      <c r="H147" t="s">
        <v>21</v>
      </c>
      <c r="I147" t="s">
        <v>19</v>
      </c>
      <c r="J147" t="s">
        <v>25</v>
      </c>
      <c r="K147" t="s">
        <v>18</v>
      </c>
      <c r="L147" t="s">
        <v>1203</v>
      </c>
      <c r="M147" t="s">
        <v>1193</v>
      </c>
      <c r="N147">
        <v>2026</v>
      </c>
      <c r="O147" t="s">
        <v>133</v>
      </c>
      <c r="P147" t="s">
        <v>729</v>
      </c>
      <c r="Q147" t="s">
        <v>727</v>
      </c>
      <c r="R147" t="s">
        <v>17</v>
      </c>
      <c r="S147" t="str">
        <f t="shared" si="5"/>
        <v>2026-1341</v>
      </c>
      <c r="AO147" s="40"/>
      <c r="AP147" s="40"/>
      <c r="AQ147" s="41">
        <v>46062</v>
      </c>
      <c r="AR147" s="40">
        <v>44587.304976851854</v>
      </c>
    </row>
    <row r="148" spans="1:44" x14ac:dyDescent="0.25">
      <c r="A148">
        <v>1342</v>
      </c>
      <c r="B148" t="s">
        <v>166</v>
      </c>
      <c r="C148" t="s">
        <v>1204</v>
      </c>
      <c r="D148" t="s">
        <v>1205</v>
      </c>
      <c r="E148" t="s">
        <v>153</v>
      </c>
      <c r="F148" t="s">
        <v>153</v>
      </c>
      <c r="G148" t="s">
        <v>24</v>
      </c>
      <c r="H148" t="s">
        <v>21</v>
      </c>
      <c r="I148" t="s">
        <v>19</v>
      </c>
      <c r="J148" t="s">
        <v>30</v>
      </c>
      <c r="K148" t="s">
        <v>18</v>
      </c>
      <c r="L148" t="s">
        <v>1199</v>
      </c>
      <c r="M148" t="s">
        <v>1206</v>
      </c>
      <c r="N148">
        <v>2026</v>
      </c>
      <c r="O148" t="s">
        <v>133</v>
      </c>
      <c r="P148" t="s">
        <v>729</v>
      </c>
      <c r="Q148" t="s">
        <v>727</v>
      </c>
      <c r="R148" t="s">
        <v>17</v>
      </c>
      <c r="S148" t="str">
        <f t="shared" si="5"/>
        <v>2026-1342</v>
      </c>
      <c r="AO148" s="40"/>
      <c r="AP148" s="40"/>
      <c r="AQ148" s="41">
        <v>46062</v>
      </c>
      <c r="AR148" s="40">
        <v>44587.305104166669</v>
      </c>
    </row>
    <row r="149" spans="1:44" x14ac:dyDescent="0.25">
      <c r="A149">
        <v>1343</v>
      </c>
      <c r="B149" t="s">
        <v>166</v>
      </c>
      <c r="C149" t="s">
        <v>1207</v>
      </c>
      <c r="D149" t="s">
        <v>1208</v>
      </c>
      <c r="E149" t="s">
        <v>153</v>
      </c>
      <c r="F149" t="s">
        <v>153</v>
      </c>
      <c r="G149" t="s">
        <v>24</v>
      </c>
      <c r="H149" t="s">
        <v>21</v>
      </c>
      <c r="I149" t="s">
        <v>19</v>
      </c>
      <c r="J149" t="s">
        <v>27</v>
      </c>
      <c r="K149" t="s">
        <v>18</v>
      </c>
      <c r="L149" t="s">
        <v>1157</v>
      </c>
      <c r="M149" t="s">
        <v>1197</v>
      </c>
      <c r="N149">
        <v>2027</v>
      </c>
      <c r="O149" t="s">
        <v>133</v>
      </c>
      <c r="P149" t="s">
        <v>729</v>
      </c>
      <c r="Q149" t="s">
        <v>727</v>
      </c>
      <c r="R149" t="s">
        <v>17</v>
      </c>
      <c r="S149" t="str">
        <f t="shared" si="5"/>
        <v>2027-1343</v>
      </c>
      <c r="AO149" s="40"/>
      <c r="AP149" s="40"/>
      <c r="AQ149" s="41">
        <v>46062</v>
      </c>
      <c r="AR149" s="40">
        <v>44587.305277777778</v>
      </c>
    </row>
    <row r="150" spans="1:44" x14ac:dyDescent="0.25">
      <c r="A150">
        <v>1344</v>
      </c>
      <c r="B150" t="s">
        <v>166</v>
      </c>
      <c r="C150" t="s">
        <v>1209</v>
      </c>
      <c r="D150" t="s">
        <v>1210</v>
      </c>
      <c r="E150" t="s">
        <v>75</v>
      </c>
      <c r="F150" t="s">
        <v>75</v>
      </c>
      <c r="G150" t="s">
        <v>24</v>
      </c>
      <c r="H150" t="s">
        <v>21</v>
      </c>
      <c r="I150" t="s">
        <v>19</v>
      </c>
      <c r="J150" t="s">
        <v>14</v>
      </c>
      <c r="K150" t="s">
        <v>18</v>
      </c>
      <c r="L150" t="s">
        <v>1211</v>
      </c>
      <c r="M150" t="s">
        <v>21</v>
      </c>
      <c r="N150">
        <v>2029</v>
      </c>
      <c r="O150" t="s">
        <v>133</v>
      </c>
      <c r="P150" t="s">
        <v>729</v>
      </c>
      <c r="Q150" t="s">
        <v>727</v>
      </c>
      <c r="R150" t="s">
        <v>17</v>
      </c>
      <c r="S150" t="str">
        <f t="shared" si="5"/>
        <v>2029-1344</v>
      </c>
      <c r="AO150" s="40"/>
      <c r="AP150" s="40"/>
      <c r="AQ150" s="41">
        <v>46062</v>
      </c>
      <c r="AR150" s="40">
        <v>44573.360949074071</v>
      </c>
    </row>
    <row r="151" spans="1:44" x14ac:dyDescent="0.25">
      <c r="A151">
        <v>1345</v>
      </c>
      <c r="B151" t="s">
        <v>166</v>
      </c>
      <c r="C151" t="s">
        <v>1212</v>
      </c>
      <c r="D151" t="s">
        <v>1213</v>
      </c>
      <c r="E151" t="s">
        <v>75</v>
      </c>
      <c r="F151" t="s">
        <v>623</v>
      </c>
      <c r="G151" t="s">
        <v>24</v>
      </c>
      <c r="H151" t="s">
        <v>21</v>
      </c>
      <c r="I151" t="s">
        <v>16</v>
      </c>
      <c r="J151" t="s">
        <v>14</v>
      </c>
      <c r="K151" t="s">
        <v>18</v>
      </c>
      <c r="L151" t="s">
        <v>1214</v>
      </c>
      <c r="M151" t="s">
        <v>1211</v>
      </c>
      <c r="N151">
        <v>2029</v>
      </c>
      <c r="O151" t="s">
        <v>133</v>
      </c>
      <c r="P151">
        <v>8</v>
      </c>
      <c r="Q151" t="s">
        <v>727</v>
      </c>
      <c r="R151" t="s">
        <v>17</v>
      </c>
      <c r="S151" t="str">
        <f t="shared" si="5"/>
        <v>2029-1345</v>
      </c>
      <c r="AO151" s="40"/>
      <c r="AP151" s="40"/>
      <c r="AQ151" s="41">
        <v>46062</v>
      </c>
      <c r="AR151" s="40">
        <v>44573.363449074073</v>
      </c>
    </row>
    <row r="152" spans="1:44" x14ac:dyDescent="0.25">
      <c r="A152">
        <v>1346</v>
      </c>
      <c r="B152" t="s">
        <v>166</v>
      </c>
      <c r="C152" t="s">
        <v>1215</v>
      </c>
      <c r="D152" t="s">
        <v>1216</v>
      </c>
      <c r="E152" t="s">
        <v>623</v>
      </c>
      <c r="F152" t="s">
        <v>623</v>
      </c>
      <c r="G152" t="s">
        <v>24</v>
      </c>
      <c r="H152" t="s">
        <v>21</v>
      </c>
      <c r="I152" t="s">
        <v>16</v>
      </c>
      <c r="J152" t="s">
        <v>14</v>
      </c>
      <c r="K152" t="s">
        <v>18</v>
      </c>
      <c r="L152" t="s">
        <v>1211</v>
      </c>
      <c r="M152" t="s">
        <v>1121</v>
      </c>
      <c r="N152">
        <v>2030</v>
      </c>
      <c r="O152" t="s">
        <v>133</v>
      </c>
      <c r="P152">
        <v>18</v>
      </c>
      <c r="Q152" t="s">
        <v>727</v>
      </c>
      <c r="R152" t="s">
        <v>17</v>
      </c>
      <c r="S152" t="str">
        <f t="shared" si="5"/>
        <v>2030-1346</v>
      </c>
      <c r="AO152" s="40"/>
      <c r="AP152" s="40"/>
      <c r="AQ152" s="41">
        <v>46062</v>
      </c>
      <c r="AR152" s="40">
        <v>44573.366307870368</v>
      </c>
    </row>
    <row r="153" spans="1:44" x14ac:dyDescent="0.25">
      <c r="A153">
        <v>1347</v>
      </c>
      <c r="B153" t="s">
        <v>166</v>
      </c>
      <c r="C153" t="s">
        <v>1217</v>
      </c>
      <c r="D153" t="s">
        <v>1218</v>
      </c>
      <c r="E153" t="s">
        <v>153</v>
      </c>
      <c r="F153" t="s">
        <v>153</v>
      </c>
      <c r="G153" t="s">
        <v>24</v>
      </c>
      <c r="H153" t="s">
        <v>21</v>
      </c>
      <c r="I153" t="s">
        <v>19</v>
      </c>
      <c r="J153" t="s">
        <v>14</v>
      </c>
      <c r="K153" t="s">
        <v>18</v>
      </c>
      <c r="L153" t="s">
        <v>1217</v>
      </c>
      <c r="M153" t="s">
        <v>1219</v>
      </c>
      <c r="N153">
        <v>2030</v>
      </c>
      <c r="O153" t="s">
        <v>133</v>
      </c>
      <c r="P153" t="s">
        <v>729</v>
      </c>
      <c r="Q153" t="s">
        <v>727</v>
      </c>
      <c r="R153" t="s">
        <v>17</v>
      </c>
      <c r="S153" t="str">
        <f t="shared" si="5"/>
        <v>2030-1347</v>
      </c>
      <c r="AO153" s="40"/>
      <c r="AP153" s="40"/>
      <c r="AQ153" s="41">
        <v>46062</v>
      </c>
      <c r="AR153" s="40">
        <v>44573.3983912037</v>
      </c>
    </row>
    <row r="154" spans="1:44" x14ac:dyDescent="0.25">
      <c r="A154">
        <v>1348</v>
      </c>
      <c r="B154" t="s">
        <v>166</v>
      </c>
      <c r="C154" t="s">
        <v>1220</v>
      </c>
      <c r="D154" t="s">
        <v>1221</v>
      </c>
      <c r="E154" t="s">
        <v>647</v>
      </c>
      <c r="F154" t="s">
        <v>295</v>
      </c>
      <c r="G154" t="s">
        <v>24</v>
      </c>
      <c r="H154" t="s">
        <v>21</v>
      </c>
      <c r="I154" t="s">
        <v>19</v>
      </c>
      <c r="J154" t="s">
        <v>25</v>
      </c>
      <c r="K154" t="s">
        <v>728</v>
      </c>
      <c r="L154" t="s">
        <v>1222</v>
      </c>
      <c r="M154" t="s">
        <v>21</v>
      </c>
      <c r="N154">
        <v>2024</v>
      </c>
      <c r="O154" t="s">
        <v>133</v>
      </c>
      <c r="P154" t="s">
        <v>729</v>
      </c>
      <c r="Q154" t="s">
        <v>727</v>
      </c>
      <c r="R154" t="s">
        <v>17</v>
      </c>
      <c r="S154" t="str">
        <f t="shared" si="5"/>
        <v>2024-1348</v>
      </c>
      <c r="AO154" s="40"/>
      <c r="AP154" s="40"/>
      <c r="AQ154" s="41">
        <v>46062</v>
      </c>
      <c r="AR154" s="40">
        <v>44573.407407407409</v>
      </c>
    </row>
    <row r="155" spans="1:44" x14ac:dyDescent="0.25">
      <c r="A155">
        <v>1351</v>
      </c>
      <c r="B155" t="s">
        <v>166</v>
      </c>
      <c r="C155" t="s">
        <v>1223</v>
      </c>
      <c r="D155" t="s">
        <v>1224</v>
      </c>
      <c r="E155" t="s">
        <v>1225</v>
      </c>
      <c r="F155" t="s">
        <v>296</v>
      </c>
      <c r="G155" t="s">
        <v>17</v>
      </c>
      <c r="H155" t="s">
        <v>648</v>
      </c>
      <c r="I155" t="s">
        <v>19</v>
      </c>
      <c r="J155" t="s">
        <v>14</v>
      </c>
      <c r="K155" t="s">
        <v>728</v>
      </c>
      <c r="L155" t="s">
        <v>1149</v>
      </c>
      <c r="M155" t="s">
        <v>1226</v>
      </c>
      <c r="N155">
        <v>2025</v>
      </c>
      <c r="O155" t="s">
        <v>133</v>
      </c>
      <c r="P155" t="s">
        <v>729</v>
      </c>
      <c r="Q155" t="s">
        <v>727</v>
      </c>
      <c r="R155" t="s">
        <v>17</v>
      </c>
      <c r="S155" t="str">
        <f t="shared" si="5"/>
        <v>2025-1351</v>
      </c>
      <c r="AO155" s="40"/>
      <c r="AP155" s="40"/>
      <c r="AQ155" s="41">
        <v>46062</v>
      </c>
      <c r="AR155" s="40">
        <v>44579.60696759259</v>
      </c>
    </row>
    <row r="156" spans="1:44" x14ac:dyDescent="0.25">
      <c r="A156">
        <v>1352</v>
      </c>
      <c r="B156" t="s">
        <v>63</v>
      </c>
      <c r="C156" t="s">
        <v>650</v>
      </c>
      <c r="D156" t="s">
        <v>651</v>
      </c>
      <c r="E156" t="s">
        <v>153</v>
      </c>
      <c r="F156" t="s">
        <v>153</v>
      </c>
      <c r="G156" t="s">
        <v>24</v>
      </c>
      <c r="H156" t="s">
        <v>21</v>
      </c>
      <c r="I156" t="s">
        <v>19</v>
      </c>
      <c r="J156" t="s">
        <v>20</v>
      </c>
      <c r="K156" t="s">
        <v>728</v>
      </c>
      <c r="L156" t="s">
        <v>438</v>
      </c>
      <c r="M156" t="s">
        <v>438</v>
      </c>
      <c r="N156">
        <v>2024</v>
      </c>
      <c r="O156" t="s">
        <v>150</v>
      </c>
      <c r="P156" t="s">
        <v>729</v>
      </c>
      <c r="Q156" t="s">
        <v>730</v>
      </c>
      <c r="R156" t="s">
        <v>17</v>
      </c>
      <c r="S156" t="s">
        <v>1573</v>
      </c>
      <c r="AO156" s="40"/>
      <c r="AP156" s="40"/>
      <c r="AQ156" s="41">
        <v>46063</v>
      </c>
      <c r="AR156" s="40">
        <v>44587.590081018519</v>
      </c>
    </row>
    <row r="157" spans="1:44" x14ac:dyDescent="0.25">
      <c r="A157">
        <v>1353</v>
      </c>
      <c r="B157" t="s">
        <v>63</v>
      </c>
      <c r="C157" t="s">
        <v>652</v>
      </c>
      <c r="D157" t="s">
        <v>653</v>
      </c>
      <c r="E157" t="s">
        <v>654</v>
      </c>
      <c r="F157" t="s">
        <v>654</v>
      </c>
      <c r="G157" t="s">
        <v>24</v>
      </c>
      <c r="H157" t="s">
        <v>21</v>
      </c>
      <c r="I157" t="s">
        <v>16</v>
      </c>
      <c r="J157" t="s">
        <v>20</v>
      </c>
      <c r="K157" t="s">
        <v>165</v>
      </c>
      <c r="L157" t="s">
        <v>407</v>
      </c>
      <c r="M157" t="s">
        <v>655</v>
      </c>
      <c r="N157">
        <v>2025</v>
      </c>
      <c r="O157" t="s">
        <v>150</v>
      </c>
      <c r="P157">
        <v>1.6</v>
      </c>
      <c r="Q157" t="s">
        <v>730</v>
      </c>
      <c r="R157" t="s">
        <v>17</v>
      </c>
      <c r="S157" t="s">
        <v>1571</v>
      </c>
      <c r="AO157" s="40"/>
      <c r="AP157" s="40"/>
      <c r="AQ157" s="41">
        <v>46063</v>
      </c>
      <c r="AR157" s="40">
        <v>44587.594756944447</v>
      </c>
    </row>
    <row r="158" spans="1:44" x14ac:dyDescent="0.25">
      <c r="A158">
        <v>1355</v>
      </c>
      <c r="B158" t="s">
        <v>63</v>
      </c>
      <c r="C158" t="s">
        <v>656</v>
      </c>
      <c r="D158" t="s">
        <v>711</v>
      </c>
      <c r="E158" t="s">
        <v>657</v>
      </c>
      <c r="F158" t="s">
        <v>460</v>
      </c>
      <c r="G158" t="s">
        <v>17</v>
      </c>
      <c r="H158" t="s">
        <v>677</v>
      </c>
      <c r="I158" t="s">
        <v>16</v>
      </c>
      <c r="J158" t="s">
        <v>30</v>
      </c>
      <c r="K158" t="s">
        <v>728</v>
      </c>
      <c r="L158" t="s">
        <v>188</v>
      </c>
      <c r="M158" t="s">
        <v>66</v>
      </c>
      <c r="N158">
        <v>2025</v>
      </c>
      <c r="O158" t="s">
        <v>150</v>
      </c>
      <c r="P158">
        <v>107</v>
      </c>
      <c r="Q158" t="s">
        <v>730</v>
      </c>
      <c r="R158" t="s">
        <v>17</v>
      </c>
      <c r="S158" t="s">
        <v>1571</v>
      </c>
      <c r="AO158" s="40"/>
      <c r="AP158" s="40"/>
      <c r="AQ158" s="41">
        <v>46063</v>
      </c>
      <c r="AR158" s="40">
        <v>44587.600370370368</v>
      </c>
    </row>
    <row r="159" spans="1:44" x14ac:dyDescent="0.25">
      <c r="A159">
        <v>1356</v>
      </c>
      <c r="B159" t="s">
        <v>63</v>
      </c>
      <c r="C159" t="s">
        <v>658</v>
      </c>
      <c r="D159" t="s">
        <v>709</v>
      </c>
      <c r="E159" t="s">
        <v>657</v>
      </c>
      <c r="F159" t="s">
        <v>460</v>
      </c>
      <c r="G159" t="s">
        <v>17</v>
      </c>
      <c r="H159" t="s">
        <v>677</v>
      </c>
      <c r="I159" t="s">
        <v>16</v>
      </c>
      <c r="J159" t="s">
        <v>30</v>
      </c>
      <c r="K159" t="s">
        <v>165</v>
      </c>
      <c r="L159" t="s">
        <v>185</v>
      </c>
      <c r="M159" t="s">
        <v>659</v>
      </c>
      <c r="N159">
        <v>2026</v>
      </c>
      <c r="O159" t="s">
        <v>150</v>
      </c>
      <c r="P159">
        <v>30</v>
      </c>
      <c r="Q159" t="s">
        <v>730</v>
      </c>
      <c r="R159" t="s">
        <v>17</v>
      </c>
      <c r="S159" t="s">
        <v>1572</v>
      </c>
      <c r="AO159" s="40"/>
      <c r="AP159" s="40"/>
      <c r="AQ159" s="41">
        <v>46063</v>
      </c>
      <c r="AR159" s="40">
        <v>44587.603043981479</v>
      </c>
    </row>
    <row r="160" spans="1:44" x14ac:dyDescent="0.25">
      <c r="A160">
        <v>1357</v>
      </c>
      <c r="B160" t="s">
        <v>63</v>
      </c>
      <c r="C160" t="s">
        <v>660</v>
      </c>
      <c r="D160" t="s">
        <v>661</v>
      </c>
      <c r="E160" t="s">
        <v>657</v>
      </c>
      <c r="F160" t="s">
        <v>460</v>
      </c>
      <c r="G160" t="s">
        <v>17</v>
      </c>
      <c r="H160" t="s">
        <v>677</v>
      </c>
      <c r="I160" t="s">
        <v>16</v>
      </c>
      <c r="J160" t="s">
        <v>30</v>
      </c>
      <c r="K160" t="s">
        <v>18</v>
      </c>
      <c r="L160" t="s">
        <v>662</v>
      </c>
      <c r="M160" t="s">
        <v>663</v>
      </c>
      <c r="N160">
        <v>2028</v>
      </c>
      <c r="O160" t="s">
        <v>150</v>
      </c>
      <c r="P160">
        <v>80</v>
      </c>
      <c r="Q160" t="s">
        <v>730</v>
      </c>
      <c r="R160" t="s">
        <v>17</v>
      </c>
      <c r="S160" t="str">
        <f>N160&amp;"-"&amp;A160</f>
        <v>2028-1357</v>
      </c>
      <c r="AO160" s="40">
        <v>45299.528136574074</v>
      </c>
      <c r="AP160" s="40"/>
      <c r="AQ160" s="41">
        <v>45324</v>
      </c>
      <c r="AR160" s="40">
        <v>44587.605405092596</v>
      </c>
    </row>
    <row r="161" spans="1:44" x14ac:dyDescent="0.25">
      <c r="A161">
        <v>1358</v>
      </c>
      <c r="B161" t="s">
        <v>63</v>
      </c>
      <c r="C161" t="s">
        <v>664</v>
      </c>
      <c r="D161" t="s">
        <v>708</v>
      </c>
      <c r="E161" t="s">
        <v>657</v>
      </c>
      <c r="F161" t="s">
        <v>460</v>
      </c>
      <c r="G161" t="s">
        <v>17</v>
      </c>
      <c r="H161" t="s">
        <v>677</v>
      </c>
      <c r="I161" t="s">
        <v>16</v>
      </c>
      <c r="J161" t="s">
        <v>30</v>
      </c>
      <c r="K161" t="s">
        <v>18</v>
      </c>
      <c r="L161" t="s">
        <v>663</v>
      </c>
      <c r="M161" t="s">
        <v>188</v>
      </c>
      <c r="N161">
        <v>2028</v>
      </c>
      <c r="O161" t="s">
        <v>150</v>
      </c>
      <c r="P161">
        <v>80.7</v>
      </c>
      <c r="Q161" t="s">
        <v>730</v>
      </c>
      <c r="R161" t="s">
        <v>17</v>
      </c>
      <c r="S161" t="s">
        <v>1574</v>
      </c>
      <c r="AO161" s="40"/>
      <c r="AP161" s="40"/>
      <c r="AQ161" s="41">
        <v>46063</v>
      </c>
      <c r="AR161" s="40">
        <v>44587.607858796298</v>
      </c>
    </row>
    <row r="162" spans="1:44" x14ac:dyDescent="0.25">
      <c r="A162">
        <v>1359</v>
      </c>
      <c r="B162" t="s">
        <v>63</v>
      </c>
      <c r="C162" t="s">
        <v>665</v>
      </c>
      <c r="D162" t="s">
        <v>666</v>
      </c>
      <c r="E162" t="s">
        <v>153</v>
      </c>
      <c r="F162" t="s">
        <v>153</v>
      </c>
      <c r="G162" t="s">
        <v>24</v>
      </c>
      <c r="H162" t="s">
        <v>21</v>
      </c>
      <c r="I162" t="s">
        <v>19</v>
      </c>
      <c r="J162" t="s">
        <v>20</v>
      </c>
      <c r="K162" t="s">
        <v>728</v>
      </c>
      <c r="L162" t="s">
        <v>373</v>
      </c>
      <c r="M162" t="s">
        <v>374</v>
      </c>
      <c r="N162">
        <v>2026</v>
      </c>
      <c r="O162" t="s">
        <v>150</v>
      </c>
      <c r="P162" t="s">
        <v>729</v>
      </c>
      <c r="Q162" t="s">
        <v>917</v>
      </c>
      <c r="R162" t="s">
        <v>17</v>
      </c>
      <c r="S162" t="s">
        <v>1572</v>
      </c>
      <c r="AO162" s="40"/>
      <c r="AP162" s="40"/>
      <c r="AQ162" s="41">
        <v>46063</v>
      </c>
      <c r="AR162" s="40">
        <v>44589.460763888892</v>
      </c>
    </row>
    <row r="163" spans="1:44" x14ac:dyDescent="0.25">
      <c r="A163">
        <v>1361</v>
      </c>
      <c r="B163" t="s">
        <v>63</v>
      </c>
      <c r="C163" t="s">
        <v>688</v>
      </c>
      <c r="D163" t="s">
        <v>689</v>
      </c>
      <c r="E163" t="s">
        <v>406</v>
      </c>
      <c r="F163" t="s">
        <v>460</v>
      </c>
      <c r="G163" t="s">
        <v>17</v>
      </c>
      <c r="H163" t="s">
        <v>677</v>
      </c>
      <c r="I163" t="s">
        <v>19</v>
      </c>
      <c r="J163" t="s">
        <v>30</v>
      </c>
      <c r="K163" t="s">
        <v>728</v>
      </c>
      <c r="L163" t="s">
        <v>690</v>
      </c>
      <c r="M163" t="s">
        <v>690</v>
      </c>
      <c r="N163">
        <v>2024</v>
      </c>
      <c r="O163" t="s">
        <v>150</v>
      </c>
      <c r="P163" t="s">
        <v>729</v>
      </c>
      <c r="Q163" t="s">
        <v>730</v>
      </c>
      <c r="R163" t="s">
        <v>17</v>
      </c>
      <c r="S163" t="s">
        <v>1573</v>
      </c>
      <c r="AO163" s="40"/>
      <c r="AP163" s="40"/>
      <c r="AQ163" s="41">
        <v>46063</v>
      </c>
      <c r="AR163" s="40">
        <v>44589.474814814814</v>
      </c>
    </row>
    <row r="164" spans="1:44" x14ac:dyDescent="0.25">
      <c r="A164">
        <v>1367</v>
      </c>
      <c r="B164" t="s">
        <v>36</v>
      </c>
      <c r="C164" t="s">
        <v>668</v>
      </c>
      <c r="D164" t="s">
        <v>1096</v>
      </c>
      <c r="E164" t="s">
        <v>1097</v>
      </c>
      <c r="F164" t="s">
        <v>984</v>
      </c>
      <c r="G164" t="s">
        <v>24</v>
      </c>
      <c r="H164" t="s">
        <v>21</v>
      </c>
      <c r="I164" t="s">
        <v>16</v>
      </c>
      <c r="J164" t="s">
        <v>30</v>
      </c>
      <c r="K164" t="s">
        <v>1110</v>
      </c>
      <c r="L164" t="s">
        <v>669</v>
      </c>
      <c r="M164" t="s">
        <v>416</v>
      </c>
      <c r="N164">
        <v>2026</v>
      </c>
      <c r="O164" t="s">
        <v>133</v>
      </c>
      <c r="P164">
        <v>4</v>
      </c>
      <c r="Q164" t="s">
        <v>727</v>
      </c>
      <c r="R164" t="s">
        <v>17</v>
      </c>
      <c r="S164" t="str">
        <f>N164&amp;"-"&amp;A164</f>
        <v>2026-1367</v>
      </c>
      <c r="AO164" s="40"/>
      <c r="AP164" s="40"/>
      <c r="AQ164" s="41">
        <v>46057</v>
      </c>
      <c r="AR164" s="40">
        <v>44580.350219907406</v>
      </c>
    </row>
    <row r="165" spans="1:44" x14ac:dyDescent="0.25">
      <c r="A165">
        <v>1368</v>
      </c>
      <c r="B165" t="s">
        <v>36</v>
      </c>
      <c r="C165" t="s">
        <v>1098</v>
      </c>
      <c r="D165" t="s">
        <v>1099</v>
      </c>
      <c r="E165" t="s">
        <v>1100</v>
      </c>
      <c r="F165" t="s">
        <v>984</v>
      </c>
      <c r="G165" t="s">
        <v>24</v>
      </c>
      <c r="H165" t="s">
        <v>21</v>
      </c>
      <c r="I165" t="s">
        <v>19</v>
      </c>
      <c r="J165" t="s">
        <v>25</v>
      </c>
      <c r="K165" t="s">
        <v>18</v>
      </c>
      <c r="L165" t="s">
        <v>1101</v>
      </c>
      <c r="M165" t="s">
        <v>670</v>
      </c>
      <c r="N165">
        <v>2028</v>
      </c>
      <c r="O165" t="s">
        <v>133</v>
      </c>
      <c r="P165" t="s">
        <v>21</v>
      </c>
      <c r="Q165" t="s">
        <v>727</v>
      </c>
      <c r="R165" t="s">
        <v>17</v>
      </c>
      <c r="S165" t="str">
        <f>N165&amp;"-"&amp;A165</f>
        <v>2028-1368</v>
      </c>
      <c r="AO165" s="40"/>
      <c r="AP165" s="40"/>
      <c r="AQ165" s="41">
        <v>46057</v>
      </c>
      <c r="AR165" s="40">
        <v>44580.357615740744</v>
      </c>
    </row>
    <row r="166" spans="1:44" x14ac:dyDescent="0.25">
      <c r="A166">
        <v>1369</v>
      </c>
      <c r="B166" t="s">
        <v>36</v>
      </c>
      <c r="C166" t="s">
        <v>1102</v>
      </c>
      <c r="D166" t="s">
        <v>1103</v>
      </c>
      <c r="E166" t="s">
        <v>1104</v>
      </c>
      <c r="F166" t="s">
        <v>153</v>
      </c>
      <c r="G166" t="s">
        <v>24</v>
      </c>
      <c r="H166" t="s">
        <v>21</v>
      </c>
      <c r="I166" t="s">
        <v>16</v>
      </c>
      <c r="J166" t="s">
        <v>25</v>
      </c>
      <c r="K166" t="s">
        <v>18</v>
      </c>
      <c r="L166" t="s">
        <v>671</v>
      </c>
      <c r="M166" t="s">
        <v>1105</v>
      </c>
      <c r="N166">
        <v>2031</v>
      </c>
      <c r="O166" t="s">
        <v>133</v>
      </c>
      <c r="P166">
        <v>28</v>
      </c>
      <c r="Q166" t="s">
        <v>727</v>
      </c>
      <c r="R166" t="s">
        <v>17</v>
      </c>
      <c r="S166" t="str">
        <f>N166&amp;"-"&amp;A166</f>
        <v>2031-1369</v>
      </c>
      <c r="AO166" s="40"/>
      <c r="AP166" s="40"/>
      <c r="AQ166" s="41">
        <v>46057</v>
      </c>
      <c r="AR166" s="40">
        <v>44580.36136574074</v>
      </c>
    </row>
    <row r="167" spans="1:44" x14ac:dyDescent="0.25">
      <c r="A167">
        <v>1370</v>
      </c>
      <c r="B167" t="s">
        <v>36</v>
      </c>
      <c r="C167" t="s">
        <v>672</v>
      </c>
      <c r="D167" t="s">
        <v>673</v>
      </c>
      <c r="E167" t="s">
        <v>980</v>
      </c>
      <c r="F167" t="s">
        <v>674</v>
      </c>
      <c r="G167" t="s">
        <v>24</v>
      </c>
      <c r="H167" t="s">
        <v>21</v>
      </c>
      <c r="I167" t="s">
        <v>16</v>
      </c>
      <c r="J167" t="s">
        <v>30</v>
      </c>
      <c r="K167" t="s">
        <v>18</v>
      </c>
      <c r="L167" t="s">
        <v>675</v>
      </c>
      <c r="M167" t="s">
        <v>676</v>
      </c>
      <c r="N167">
        <v>2029</v>
      </c>
      <c r="O167" t="s">
        <v>133</v>
      </c>
      <c r="P167">
        <v>13</v>
      </c>
      <c r="Q167" t="s">
        <v>727</v>
      </c>
      <c r="R167" t="s">
        <v>17</v>
      </c>
      <c r="S167" t="str">
        <f>N167&amp;"-"&amp;A167</f>
        <v>2029-1370</v>
      </c>
      <c r="AO167" s="40"/>
      <c r="AP167" s="40"/>
      <c r="AQ167" s="41">
        <v>46057</v>
      </c>
      <c r="AR167" s="40">
        <v>44580.379432870373</v>
      </c>
    </row>
    <row r="168" spans="1:44" x14ac:dyDescent="0.25">
      <c r="A168">
        <v>1372</v>
      </c>
      <c r="B168" t="s">
        <v>36</v>
      </c>
      <c r="C168" t="s">
        <v>981</v>
      </c>
      <c r="D168" t="s">
        <v>982</v>
      </c>
      <c r="E168" t="s">
        <v>983</v>
      </c>
      <c r="F168" t="s">
        <v>984</v>
      </c>
      <c r="G168" t="s">
        <v>24</v>
      </c>
      <c r="H168" t="s">
        <v>21</v>
      </c>
      <c r="I168" t="s">
        <v>16</v>
      </c>
      <c r="J168" t="s">
        <v>30</v>
      </c>
      <c r="K168" t="s">
        <v>18</v>
      </c>
      <c r="L168" t="s">
        <v>985</v>
      </c>
      <c r="M168" t="s">
        <v>986</v>
      </c>
      <c r="N168">
        <v>2028</v>
      </c>
      <c r="O168" t="s">
        <v>133</v>
      </c>
      <c r="P168">
        <v>15</v>
      </c>
      <c r="Q168" t="s">
        <v>727</v>
      </c>
      <c r="R168" t="s">
        <v>17</v>
      </c>
      <c r="S168" t="str">
        <f>N168&amp;"-"&amp;A168</f>
        <v>2028-1372</v>
      </c>
      <c r="AO168" s="40"/>
      <c r="AP168" s="40"/>
      <c r="AQ168" s="41">
        <v>46057</v>
      </c>
      <c r="AR168" s="40">
        <v>44580.38354166667</v>
      </c>
    </row>
    <row r="169" spans="1:44" x14ac:dyDescent="0.25">
      <c r="A169">
        <v>1416</v>
      </c>
      <c r="B169" t="s">
        <v>39</v>
      </c>
      <c r="C169" t="s">
        <v>1562</v>
      </c>
      <c r="D169" t="s">
        <v>1563</v>
      </c>
      <c r="E169" t="s">
        <v>75</v>
      </c>
      <c r="F169" t="s">
        <v>75</v>
      </c>
      <c r="G169" t="s">
        <v>24</v>
      </c>
      <c r="H169" t="s">
        <v>21</v>
      </c>
      <c r="I169" t="s">
        <v>16</v>
      </c>
      <c r="J169" t="s">
        <v>20</v>
      </c>
      <c r="K169" t="s">
        <v>18</v>
      </c>
      <c r="L169" t="s">
        <v>554</v>
      </c>
      <c r="M169" t="s">
        <v>550</v>
      </c>
      <c r="N169">
        <v>2027</v>
      </c>
      <c r="O169" t="s">
        <v>133</v>
      </c>
      <c r="P169" t="s">
        <v>729</v>
      </c>
      <c r="Q169" t="s">
        <v>731</v>
      </c>
      <c r="R169" t="s">
        <v>17</v>
      </c>
      <c r="S169" t="s">
        <v>784</v>
      </c>
      <c r="AO169" s="40">
        <v>45294.573217592595</v>
      </c>
      <c r="AP169" s="40"/>
      <c r="AQ169" s="41">
        <v>45324</v>
      </c>
      <c r="AR169" s="40">
        <v>44629.501759259256</v>
      </c>
    </row>
    <row r="170" spans="1:44" x14ac:dyDescent="0.25">
      <c r="A170">
        <v>1432</v>
      </c>
      <c r="B170" t="s">
        <v>39</v>
      </c>
      <c r="C170" t="s">
        <v>786</v>
      </c>
      <c r="D170" t="s">
        <v>786</v>
      </c>
      <c r="E170" t="s">
        <v>787</v>
      </c>
      <c r="F170" t="s">
        <v>153</v>
      </c>
      <c r="G170" t="s">
        <v>24</v>
      </c>
      <c r="H170" t="s">
        <v>21</v>
      </c>
      <c r="I170" t="s">
        <v>19</v>
      </c>
      <c r="J170" t="s">
        <v>20</v>
      </c>
      <c r="K170" t="s">
        <v>728</v>
      </c>
      <c r="L170" t="s">
        <v>788</v>
      </c>
      <c r="M170" t="s">
        <v>788</v>
      </c>
      <c r="N170">
        <v>2024</v>
      </c>
      <c r="O170" t="s">
        <v>133</v>
      </c>
      <c r="P170" t="s">
        <v>729</v>
      </c>
      <c r="Q170" t="s">
        <v>735</v>
      </c>
      <c r="R170" t="s">
        <v>17</v>
      </c>
      <c r="S170" t="s">
        <v>785</v>
      </c>
      <c r="AO170" s="40">
        <v>45294.574618055558</v>
      </c>
      <c r="AP170" s="40"/>
      <c r="AQ170" s="41">
        <v>45324</v>
      </c>
      <c r="AR170" s="40">
        <v>45294.574618055558</v>
      </c>
    </row>
    <row r="171" spans="1:44" x14ac:dyDescent="0.25">
      <c r="A171">
        <v>1433</v>
      </c>
      <c r="B171" t="s">
        <v>39</v>
      </c>
      <c r="C171" t="s">
        <v>790</v>
      </c>
      <c r="D171" t="s">
        <v>790</v>
      </c>
      <c r="E171" t="s">
        <v>791</v>
      </c>
      <c r="F171" t="s">
        <v>153</v>
      </c>
      <c r="G171" t="s">
        <v>24</v>
      </c>
      <c r="H171" t="s">
        <v>21</v>
      </c>
      <c r="I171" t="s">
        <v>19</v>
      </c>
      <c r="J171" t="s">
        <v>20</v>
      </c>
      <c r="K171" t="s">
        <v>728</v>
      </c>
      <c r="L171" t="s">
        <v>734</v>
      </c>
      <c r="M171" t="s">
        <v>734</v>
      </c>
      <c r="N171">
        <v>2024</v>
      </c>
      <c r="O171" t="s">
        <v>133</v>
      </c>
      <c r="P171" t="s">
        <v>729</v>
      </c>
      <c r="Q171" t="s">
        <v>731</v>
      </c>
      <c r="R171" t="s">
        <v>17</v>
      </c>
      <c r="S171" t="s">
        <v>789</v>
      </c>
      <c r="AO171" s="40">
        <v>45294.574826388889</v>
      </c>
      <c r="AP171" s="40"/>
      <c r="AQ171" s="41">
        <v>45324</v>
      </c>
      <c r="AR171" s="40">
        <v>45294.574826388889</v>
      </c>
    </row>
    <row r="172" spans="1:44" x14ac:dyDescent="0.25">
      <c r="A172">
        <v>1434</v>
      </c>
      <c r="B172" t="s">
        <v>39</v>
      </c>
      <c r="C172" t="s">
        <v>793</v>
      </c>
      <c r="D172" t="s">
        <v>793</v>
      </c>
      <c r="E172" t="s">
        <v>794</v>
      </c>
      <c r="F172" t="s">
        <v>153</v>
      </c>
      <c r="G172" t="s">
        <v>24</v>
      </c>
      <c r="H172" t="s">
        <v>21</v>
      </c>
      <c r="I172" t="s">
        <v>16</v>
      </c>
      <c r="J172" t="s">
        <v>20</v>
      </c>
      <c r="K172" t="s">
        <v>728</v>
      </c>
      <c r="L172" t="s">
        <v>795</v>
      </c>
      <c r="M172" t="s">
        <v>796</v>
      </c>
      <c r="N172">
        <v>2023</v>
      </c>
      <c r="O172" t="s">
        <v>133</v>
      </c>
      <c r="P172">
        <v>1.18</v>
      </c>
      <c r="Q172" t="s">
        <v>735</v>
      </c>
      <c r="R172" t="s">
        <v>17</v>
      </c>
      <c r="S172" t="s">
        <v>792</v>
      </c>
      <c r="AO172" s="40">
        <v>45294.575046296297</v>
      </c>
      <c r="AP172" s="40"/>
      <c r="AQ172" s="41">
        <v>45324</v>
      </c>
      <c r="AR172" s="40">
        <v>45294.575046296297</v>
      </c>
    </row>
    <row r="173" spans="1:44" x14ac:dyDescent="0.25">
      <c r="A173">
        <v>1435</v>
      </c>
      <c r="B173" t="s">
        <v>39</v>
      </c>
      <c r="C173" t="s">
        <v>798</v>
      </c>
      <c r="D173" t="s">
        <v>798</v>
      </c>
      <c r="E173" t="s">
        <v>542</v>
      </c>
      <c r="F173" t="s">
        <v>153</v>
      </c>
      <c r="G173" t="s">
        <v>24</v>
      </c>
      <c r="H173" t="s">
        <v>21</v>
      </c>
      <c r="I173" t="s">
        <v>16</v>
      </c>
      <c r="J173" t="s">
        <v>55</v>
      </c>
      <c r="K173" t="s">
        <v>728</v>
      </c>
      <c r="L173" t="s">
        <v>799</v>
      </c>
      <c r="M173" t="s">
        <v>800</v>
      </c>
      <c r="N173">
        <v>2025</v>
      </c>
      <c r="O173" t="s">
        <v>133</v>
      </c>
      <c r="P173">
        <v>3.415</v>
      </c>
      <c r="Q173" t="s">
        <v>735</v>
      </c>
      <c r="R173" t="s">
        <v>17</v>
      </c>
      <c r="S173" t="s">
        <v>797</v>
      </c>
      <c r="AO173" s="40">
        <v>45294.575358796297</v>
      </c>
      <c r="AP173" s="40"/>
      <c r="AQ173" s="41">
        <v>45324</v>
      </c>
      <c r="AR173" s="40">
        <v>45294.575358796297</v>
      </c>
    </row>
    <row r="174" spans="1:44" x14ac:dyDescent="0.25">
      <c r="A174">
        <v>1436</v>
      </c>
      <c r="B174" t="s">
        <v>39</v>
      </c>
      <c r="C174" t="s">
        <v>802</v>
      </c>
      <c r="D174" t="s">
        <v>802</v>
      </c>
      <c r="E174" t="s">
        <v>542</v>
      </c>
      <c r="F174" t="s">
        <v>153</v>
      </c>
      <c r="G174" t="s">
        <v>24</v>
      </c>
      <c r="H174" t="s">
        <v>21</v>
      </c>
      <c r="I174" t="s">
        <v>16</v>
      </c>
      <c r="J174" t="s">
        <v>55</v>
      </c>
      <c r="K174" t="s">
        <v>18</v>
      </c>
      <c r="L174" t="s">
        <v>803</v>
      </c>
      <c r="M174" t="s">
        <v>804</v>
      </c>
      <c r="N174">
        <v>2026</v>
      </c>
      <c r="O174" t="s">
        <v>133</v>
      </c>
      <c r="P174">
        <v>3.62</v>
      </c>
      <c r="Q174" t="s">
        <v>735</v>
      </c>
      <c r="R174" t="s">
        <v>17</v>
      </c>
      <c r="S174" t="s">
        <v>801</v>
      </c>
      <c r="AO174" s="40">
        <v>45294.575567129628</v>
      </c>
      <c r="AP174" s="40"/>
      <c r="AQ174" s="41">
        <v>45324</v>
      </c>
      <c r="AR174" s="40">
        <v>45294.575567129628</v>
      </c>
    </row>
    <row r="175" spans="1:44" x14ac:dyDescent="0.25">
      <c r="A175">
        <v>1437</v>
      </c>
      <c r="B175" t="s">
        <v>39</v>
      </c>
      <c r="C175" t="s">
        <v>806</v>
      </c>
      <c r="D175" t="s">
        <v>806</v>
      </c>
      <c r="E175" t="s">
        <v>542</v>
      </c>
      <c r="F175" t="s">
        <v>153</v>
      </c>
      <c r="G175" t="s">
        <v>24</v>
      </c>
      <c r="H175" t="s">
        <v>21</v>
      </c>
      <c r="I175" t="s">
        <v>16</v>
      </c>
      <c r="J175" t="s">
        <v>20</v>
      </c>
      <c r="K175" t="s">
        <v>728</v>
      </c>
      <c r="L175" t="s">
        <v>803</v>
      </c>
      <c r="M175" t="s">
        <v>807</v>
      </c>
      <c r="N175">
        <v>2025</v>
      </c>
      <c r="O175" t="s">
        <v>133</v>
      </c>
      <c r="P175">
        <v>1.08</v>
      </c>
      <c r="Q175" t="s">
        <v>735</v>
      </c>
      <c r="R175" t="s">
        <v>17</v>
      </c>
      <c r="S175" t="s">
        <v>805</v>
      </c>
      <c r="AO175" s="40">
        <v>45294.575775462959</v>
      </c>
      <c r="AP175" s="40"/>
      <c r="AQ175" s="41">
        <v>45324</v>
      </c>
      <c r="AR175" s="40">
        <v>45294.575775462959</v>
      </c>
    </row>
    <row r="176" spans="1:44" x14ac:dyDescent="0.25">
      <c r="A176">
        <v>1438</v>
      </c>
      <c r="B176" t="s">
        <v>39</v>
      </c>
      <c r="C176" t="s">
        <v>809</v>
      </c>
      <c r="D176" t="s">
        <v>809</v>
      </c>
      <c r="E176" t="s">
        <v>542</v>
      </c>
      <c r="F176" t="s">
        <v>153</v>
      </c>
      <c r="G176" t="s">
        <v>24</v>
      </c>
      <c r="H176" t="s">
        <v>21</v>
      </c>
      <c r="I176" t="s">
        <v>16</v>
      </c>
      <c r="J176" t="s">
        <v>55</v>
      </c>
      <c r="K176" t="s">
        <v>18</v>
      </c>
      <c r="L176" t="s">
        <v>810</v>
      </c>
      <c r="M176" t="s">
        <v>811</v>
      </c>
      <c r="N176">
        <v>2027</v>
      </c>
      <c r="O176" t="s">
        <v>133</v>
      </c>
      <c r="P176">
        <v>10.210000000000001</v>
      </c>
      <c r="Q176" t="s">
        <v>735</v>
      </c>
      <c r="R176" t="s">
        <v>17</v>
      </c>
      <c r="S176" t="s">
        <v>808</v>
      </c>
      <c r="AO176" s="40">
        <v>45294.576053240744</v>
      </c>
      <c r="AP176" s="40"/>
      <c r="AQ176" s="41">
        <v>45324</v>
      </c>
      <c r="AR176" s="40">
        <v>45294.576053240744</v>
      </c>
    </row>
    <row r="177" spans="1:44" x14ac:dyDescent="0.25">
      <c r="A177">
        <v>1439</v>
      </c>
      <c r="B177" t="s">
        <v>39</v>
      </c>
      <c r="C177" t="s">
        <v>813</v>
      </c>
      <c r="D177" t="s">
        <v>813</v>
      </c>
      <c r="E177" t="s">
        <v>542</v>
      </c>
      <c r="F177" t="s">
        <v>153</v>
      </c>
      <c r="G177" t="s">
        <v>24</v>
      </c>
      <c r="H177" t="s">
        <v>21</v>
      </c>
      <c r="I177" t="s">
        <v>16</v>
      </c>
      <c r="J177" t="s">
        <v>55</v>
      </c>
      <c r="K177" t="s">
        <v>18</v>
      </c>
      <c r="L177" t="s">
        <v>70</v>
      </c>
      <c r="M177" t="s">
        <v>814</v>
      </c>
      <c r="N177">
        <v>2026</v>
      </c>
      <c r="O177" t="s">
        <v>133</v>
      </c>
      <c r="P177">
        <v>12.87</v>
      </c>
      <c r="Q177" t="s">
        <v>735</v>
      </c>
      <c r="R177" t="s">
        <v>17</v>
      </c>
      <c r="S177" t="s">
        <v>812</v>
      </c>
      <c r="AO177" s="40">
        <v>45294.576261574075</v>
      </c>
      <c r="AP177" s="40"/>
      <c r="AQ177" s="41">
        <v>45324</v>
      </c>
      <c r="AR177" s="40">
        <v>45294.576261574075</v>
      </c>
    </row>
    <row r="178" spans="1:44" x14ac:dyDescent="0.25">
      <c r="A178">
        <v>1440</v>
      </c>
      <c r="B178" t="s">
        <v>39</v>
      </c>
      <c r="C178" t="s">
        <v>816</v>
      </c>
      <c r="D178" t="s">
        <v>816</v>
      </c>
      <c r="E178" t="s">
        <v>207</v>
      </c>
      <c r="F178" t="s">
        <v>207</v>
      </c>
      <c r="G178" t="s">
        <v>24</v>
      </c>
      <c r="H178" t="s">
        <v>21</v>
      </c>
      <c r="I178" t="s">
        <v>19</v>
      </c>
      <c r="J178" t="s">
        <v>20</v>
      </c>
      <c r="K178" t="s">
        <v>728</v>
      </c>
      <c r="L178" t="s">
        <v>817</v>
      </c>
      <c r="M178" t="s">
        <v>818</v>
      </c>
      <c r="N178">
        <v>2024</v>
      </c>
      <c r="O178" t="s">
        <v>133</v>
      </c>
      <c r="P178" t="s">
        <v>729</v>
      </c>
      <c r="Q178" t="s">
        <v>735</v>
      </c>
      <c r="R178" t="s">
        <v>17</v>
      </c>
      <c r="S178" t="s">
        <v>815</v>
      </c>
      <c r="AO178" s="40">
        <v>45294.57644675926</v>
      </c>
      <c r="AP178" s="40"/>
      <c r="AQ178" s="41">
        <v>45324</v>
      </c>
      <c r="AR178" s="40">
        <v>45294.57644675926</v>
      </c>
    </row>
    <row r="179" spans="1:44" x14ac:dyDescent="0.25">
      <c r="A179">
        <v>1441</v>
      </c>
      <c r="B179" t="s">
        <v>39</v>
      </c>
      <c r="C179" t="s">
        <v>820</v>
      </c>
      <c r="D179" t="s">
        <v>820</v>
      </c>
      <c r="E179" t="s">
        <v>542</v>
      </c>
      <c r="F179" t="s">
        <v>153</v>
      </c>
      <c r="G179" t="s">
        <v>24</v>
      </c>
      <c r="H179" t="s">
        <v>21</v>
      </c>
      <c r="I179" t="s">
        <v>16</v>
      </c>
      <c r="J179" t="s">
        <v>20</v>
      </c>
      <c r="K179" t="s">
        <v>18</v>
      </c>
      <c r="L179" t="s">
        <v>811</v>
      </c>
      <c r="M179" t="s">
        <v>821</v>
      </c>
      <c r="N179">
        <v>2027</v>
      </c>
      <c r="O179" t="s">
        <v>133</v>
      </c>
      <c r="P179">
        <v>0.54</v>
      </c>
      <c r="Q179" t="s">
        <v>735</v>
      </c>
      <c r="R179" t="s">
        <v>17</v>
      </c>
      <c r="S179" t="s">
        <v>819</v>
      </c>
      <c r="AO179" s="40">
        <v>45294.576631944445</v>
      </c>
      <c r="AP179" s="40"/>
      <c r="AQ179" s="41">
        <v>45324</v>
      </c>
      <c r="AR179" s="40">
        <v>45294.576631944445</v>
      </c>
    </row>
    <row r="180" spans="1:44" x14ac:dyDescent="0.25">
      <c r="A180">
        <v>1442</v>
      </c>
      <c r="B180" t="s">
        <v>39</v>
      </c>
      <c r="C180" t="s">
        <v>823</v>
      </c>
      <c r="D180" t="s">
        <v>823</v>
      </c>
      <c r="E180" t="s">
        <v>824</v>
      </c>
      <c r="F180" t="s">
        <v>153</v>
      </c>
      <c r="G180" t="s">
        <v>24</v>
      </c>
      <c r="H180" t="s">
        <v>21</v>
      </c>
      <c r="I180" t="s">
        <v>19</v>
      </c>
      <c r="J180" t="s">
        <v>55</v>
      </c>
      <c r="K180" t="s">
        <v>18</v>
      </c>
      <c r="L180" t="s">
        <v>825</v>
      </c>
      <c r="M180" t="s">
        <v>825</v>
      </c>
      <c r="N180">
        <v>2026</v>
      </c>
      <c r="O180" t="s">
        <v>133</v>
      </c>
      <c r="P180" t="s">
        <v>729</v>
      </c>
      <c r="Q180" t="s">
        <v>735</v>
      </c>
      <c r="R180" t="s">
        <v>17</v>
      </c>
      <c r="S180" t="s">
        <v>822</v>
      </c>
      <c r="AO180" s="40">
        <v>45294.576840277776</v>
      </c>
      <c r="AP180" s="40"/>
      <c r="AQ180" s="41">
        <v>45324</v>
      </c>
      <c r="AR180" s="40">
        <v>45294.576840277776</v>
      </c>
    </row>
    <row r="181" spans="1:44" x14ac:dyDescent="0.25">
      <c r="A181">
        <v>1443</v>
      </c>
      <c r="B181" t="s">
        <v>39</v>
      </c>
      <c r="C181" t="s">
        <v>1564</v>
      </c>
      <c r="D181" t="s">
        <v>1564</v>
      </c>
      <c r="E181" t="s">
        <v>153</v>
      </c>
      <c r="F181" t="s">
        <v>153</v>
      </c>
      <c r="G181" t="s">
        <v>24</v>
      </c>
      <c r="H181" t="s">
        <v>21</v>
      </c>
      <c r="I181" t="s">
        <v>16</v>
      </c>
      <c r="J181" t="s">
        <v>20</v>
      </c>
      <c r="K181" t="s">
        <v>728</v>
      </c>
      <c r="L181" t="s">
        <v>561</v>
      </c>
      <c r="M181" t="s">
        <v>562</v>
      </c>
      <c r="N181">
        <v>2025</v>
      </c>
      <c r="O181" t="s">
        <v>133</v>
      </c>
      <c r="P181">
        <v>25.39</v>
      </c>
      <c r="Q181" t="s">
        <v>735</v>
      </c>
      <c r="R181" t="s">
        <v>17</v>
      </c>
      <c r="S181" t="s">
        <v>826</v>
      </c>
      <c r="AO181" s="40">
        <v>45294.577025462961</v>
      </c>
      <c r="AP181" s="40"/>
      <c r="AQ181" s="41">
        <v>45324</v>
      </c>
      <c r="AR181" s="40">
        <v>45294.577025462961</v>
      </c>
    </row>
    <row r="182" spans="1:44" x14ac:dyDescent="0.25">
      <c r="A182">
        <v>1444</v>
      </c>
      <c r="B182" t="s">
        <v>39</v>
      </c>
      <c r="C182" t="s">
        <v>828</v>
      </c>
      <c r="D182" t="s">
        <v>828</v>
      </c>
      <c r="E182" t="s">
        <v>542</v>
      </c>
      <c r="F182" t="s">
        <v>153</v>
      </c>
      <c r="G182" t="s">
        <v>24</v>
      </c>
      <c r="H182" t="s">
        <v>21</v>
      </c>
      <c r="I182" t="s">
        <v>16</v>
      </c>
      <c r="J182" t="s">
        <v>20</v>
      </c>
      <c r="K182" t="s">
        <v>18</v>
      </c>
      <c r="L182" t="s">
        <v>829</v>
      </c>
      <c r="M182" t="s">
        <v>830</v>
      </c>
      <c r="N182">
        <v>2026</v>
      </c>
      <c r="O182" t="s">
        <v>133</v>
      </c>
      <c r="P182">
        <v>3.8</v>
      </c>
      <c r="Q182" t="s">
        <v>735</v>
      </c>
      <c r="R182" t="s">
        <v>17</v>
      </c>
      <c r="S182" t="s">
        <v>827</v>
      </c>
      <c r="AO182" s="40">
        <v>45294.577199074076</v>
      </c>
      <c r="AP182" s="40"/>
      <c r="AQ182" s="41">
        <v>45324</v>
      </c>
      <c r="AR182" s="40">
        <v>45294.577199074076</v>
      </c>
    </row>
    <row r="183" spans="1:44" x14ac:dyDescent="0.25">
      <c r="A183">
        <v>1445</v>
      </c>
      <c r="B183" t="s">
        <v>39</v>
      </c>
      <c r="C183" t="s">
        <v>832</v>
      </c>
      <c r="D183" t="s">
        <v>832</v>
      </c>
      <c r="E183" t="s">
        <v>568</v>
      </c>
      <c r="F183" t="s">
        <v>153</v>
      </c>
      <c r="G183" t="s">
        <v>24</v>
      </c>
      <c r="H183" t="s">
        <v>21</v>
      </c>
      <c r="I183" t="s">
        <v>19</v>
      </c>
      <c r="J183" t="s">
        <v>20</v>
      </c>
      <c r="K183" t="s">
        <v>18</v>
      </c>
      <c r="L183" t="s">
        <v>833</v>
      </c>
      <c r="M183" t="s">
        <v>833</v>
      </c>
      <c r="N183">
        <v>2034</v>
      </c>
      <c r="O183" t="s">
        <v>133</v>
      </c>
      <c r="P183" t="s">
        <v>729</v>
      </c>
      <c r="Q183" t="s">
        <v>735</v>
      </c>
      <c r="R183" t="s">
        <v>17</v>
      </c>
      <c r="S183" t="s">
        <v>831</v>
      </c>
      <c r="AO183" s="40">
        <v>45294.577372685184</v>
      </c>
      <c r="AP183" s="40"/>
      <c r="AQ183" s="41">
        <v>45324</v>
      </c>
      <c r="AR183" s="40">
        <v>45294.577372685184</v>
      </c>
    </row>
    <row r="184" spans="1:44" x14ac:dyDescent="0.25">
      <c r="A184">
        <v>1446</v>
      </c>
      <c r="B184" t="s">
        <v>39</v>
      </c>
      <c r="C184" t="s">
        <v>1624</v>
      </c>
      <c r="D184" t="s">
        <v>1624</v>
      </c>
      <c r="E184" t="s">
        <v>542</v>
      </c>
      <c r="F184" t="s">
        <v>153</v>
      </c>
      <c r="G184" t="s">
        <v>24</v>
      </c>
      <c r="H184" t="s">
        <v>21</v>
      </c>
      <c r="I184" t="s">
        <v>16</v>
      </c>
      <c r="J184" t="s">
        <v>55</v>
      </c>
      <c r="K184" t="s">
        <v>1110</v>
      </c>
      <c r="L184" t="s">
        <v>804</v>
      </c>
      <c r="M184" t="s">
        <v>1625</v>
      </c>
      <c r="N184">
        <v>2026</v>
      </c>
      <c r="O184" t="s">
        <v>133</v>
      </c>
      <c r="P184">
        <v>6.69</v>
      </c>
      <c r="Q184" t="s">
        <v>735</v>
      </c>
      <c r="R184" t="s">
        <v>17</v>
      </c>
      <c r="S184" t="s">
        <v>1626</v>
      </c>
      <c r="AO184">
        <v>45294.577685185184</v>
      </c>
      <c r="AQ184">
        <v>45324</v>
      </c>
      <c r="AR184">
        <v>45294.577685185184</v>
      </c>
    </row>
    <row r="185" spans="1:44" x14ac:dyDescent="0.25">
      <c r="A185">
        <v>1447</v>
      </c>
      <c r="B185" t="s">
        <v>39</v>
      </c>
      <c r="C185" t="s">
        <v>835</v>
      </c>
      <c r="D185" t="s">
        <v>835</v>
      </c>
      <c r="E185" t="s">
        <v>568</v>
      </c>
      <c r="F185" t="s">
        <v>153</v>
      </c>
      <c r="G185" t="s">
        <v>24</v>
      </c>
      <c r="H185" t="s">
        <v>21</v>
      </c>
      <c r="I185" t="s">
        <v>19</v>
      </c>
      <c r="J185" t="s">
        <v>20</v>
      </c>
      <c r="K185" t="s">
        <v>18</v>
      </c>
      <c r="L185" t="s">
        <v>788</v>
      </c>
      <c r="M185" t="s">
        <v>788</v>
      </c>
      <c r="N185">
        <v>2026</v>
      </c>
      <c r="O185" t="s">
        <v>133</v>
      </c>
      <c r="P185" t="s">
        <v>729</v>
      </c>
      <c r="Q185" t="s">
        <v>735</v>
      </c>
      <c r="R185" t="s">
        <v>17</v>
      </c>
      <c r="S185" t="s">
        <v>834</v>
      </c>
      <c r="AO185" s="40">
        <v>45293.622696759259</v>
      </c>
      <c r="AP185" s="40"/>
      <c r="AQ185" s="41">
        <v>45324</v>
      </c>
      <c r="AR185" s="40">
        <v>45293.622696759259</v>
      </c>
    </row>
    <row r="186" spans="1:44" ht="45" x14ac:dyDescent="0.25">
      <c r="A186">
        <v>1448</v>
      </c>
      <c r="B186" t="s">
        <v>39</v>
      </c>
      <c r="C186" s="25" t="s">
        <v>1565</v>
      </c>
      <c r="D186" s="25" t="s">
        <v>1565</v>
      </c>
      <c r="E186" t="s">
        <v>568</v>
      </c>
      <c r="F186" t="s">
        <v>153</v>
      </c>
      <c r="G186" t="s">
        <v>24</v>
      </c>
      <c r="H186" t="s">
        <v>21</v>
      </c>
      <c r="I186" t="s">
        <v>19</v>
      </c>
      <c r="J186" t="s">
        <v>55</v>
      </c>
      <c r="K186" t="s">
        <v>18</v>
      </c>
      <c r="L186" t="s">
        <v>1305</v>
      </c>
      <c r="M186" t="s">
        <v>1305</v>
      </c>
      <c r="N186">
        <v>2026</v>
      </c>
      <c r="O186" t="s">
        <v>133</v>
      </c>
      <c r="P186" t="s">
        <v>729</v>
      </c>
      <c r="Q186" t="s">
        <v>735</v>
      </c>
      <c r="R186" t="s">
        <v>17</v>
      </c>
      <c r="S186" t="s">
        <v>836</v>
      </c>
      <c r="AO186" s="40">
        <v>45293.624791666669</v>
      </c>
      <c r="AP186" s="40"/>
      <c r="AQ186" s="41">
        <v>45324</v>
      </c>
      <c r="AR186" s="40">
        <v>45293.624791666669</v>
      </c>
    </row>
    <row r="187" spans="1:44" x14ac:dyDescent="0.25">
      <c r="A187">
        <v>1449</v>
      </c>
      <c r="B187" t="s">
        <v>39</v>
      </c>
      <c r="C187" t="s">
        <v>838</v>
      </c>
      <c r="D187" t="s">
        <v>838</v>
      </c>
      <c r="E187" t="s">
        <v>542</v>
      </c>
      <c r="F187" t="s">
        <v>153</v>
      </c>
      <c r="G187" t="s">
        <v>24</v>
      </c>
      <c r="H187" t="s">
        <v>21</v>
      </c>
      <c r="I187" t="s">
        <v>16</v>
      </c>
      <c r="J187" t="s">
        <v>20</v>
      </c>
      <c r="K187" t="s">
        <v>18</v>
      </c>
      <c r="L187" t="s">
        <v>807</v>
      </c>
      <c r="M187" t="s">
        <v>788</v>
      </c>
      <c r="N187">
        <v>2027</v>
      </c>
      <c r="O187" t="s">
        <v>133</v>
      </c>
      <c r="P187">
        <v>1.53</v>
      </c>
      <c r="Q187" t="s">
        <v>735</v>
      </c>
      <c r="R187" t="s">
        <v>17</v>
      </c>
      <c r="S187" t="s">
        <v>837</v>
      </c>
      <c r="AO187" s="40">
        <v>45294.578009259261</v>
      </c>
      <c r="AP187" s="40"/>
      <c r="AQ187" s="41">
        <v>45324</v>
      </c>
      <c r="AR187" s="40">
        <v>45294.578009259261</v>
      </c>
    </row>
    <row r="188" spans="1:44" x14ac:dyDescent="0.25">
      <c r="A188">
        <v>1450</v>
      </c>
      <c r="B188" t="s">
        <v>39</v>
      </c>
      <c r="C188" t="s">
        <v>840</v>
      </c>
      <c r="D188" t="s">
        <v>840</v>
      </c>
      <c r="E188" t="s">
        <v>841</v>
      </c>
      <c r="F188" t="s">
        <v>153</v>
      </c>
      <c r="G188" t="s">
        <v>24</v>
      </c>
      <c r="H188" t="s">
        <v>21</v>
      </c>
      <c r="I188" t="s">
        <v>23</v>
      </c>
      <c r="J188" t="s">
        <v>27</v>
      </c>
      <c r="K188" t="s">
        <v>18</v>
      </c>
      <c r="L188" t="s">
        <v>554</v>
      </c>
      <c r="M188" t="s">
        <v>554</v>
      </c>
      <c r="N188">
        <v>2028</v>
      </c>
      <c r="O188" t="s">
        <v>133</v>
      </c>
      <c r="P188" t="s">
        <v>729</v>
      </c>
      <c r="Q188" t="s">
        <v>731</v>
      </c>
      <c r="R188" t="s">
        <v>17</v>
      </c>
      <c r="S188" t="s">
        <v>839</v>
      </c>
      <c r="AO188" s="40">
        <v>45294.578206018516</v>
      </c>
      <c r="AP188" s="40"/>
      <c r="AQ188" s="41">
        <v>45324</v>
      </c>
      <c r="AR188" s="40">
        <v>45294.578206018516</v>
      </c>
    </row>
    <row r="189" spans="1:44" x14ac:dyDescent="0.25">
      <c r="A189">
        <v>1451</v>
      </c>
      <c r="B189" t="s">
        <v>39</v>
      </c>
      <c r="C189" t="s">
        <v>1627</v>
      </c>
      <c r="D189" t="s">
        <v>1627</v>
      </c>
      <c r="E189" t="s">
        <v>1628</v>
      </c>
      <c r="F189" t="s">
        <v>153</v>
      </c>
      <c r="G189" t="s">
        <v>24</v>
      </c>
      <c r="H189" t="s">
        <v>21</v>
      </c>
      <c r="I189" t="s">
        <v>23</v>
      </c>
      <c r="J189" t="s">
        <v>20</v>
      </c>
      <c r="K189" t="s">
        <v>1110</v>
      </c>
      <c r="L189" t="s">
        <v>1629</v>
      </c>
      <c r="M189" t="s">
        <v>543</v>
      </c>
      <c r="N189">
        <v>2027</v>
      </c>
      <c r="O189" t="s">
        <v>133</v>
      </c>
      <c r="P189" t="s">
        <v>729</v>
      </c>
      <c r="Q189" t="s">
        <v>735</v>
      </c>
      <c r="R189" t="s">
        <v>17</v>
      </c>
      <c r="S189" t="s">
        <v>1630</v>
      </c>
      <c r="AO189">
        <v>45294.459641203706</v>
      </c>
      <c r="AQ189">
        <v>45324</v>
      </c>
      <c r="AR189">
        <v>45294.459641203706</v>
      </c>
    </row>
    <row r="190" spans="1:44" x14ac:dyDescent="0.25">
      <c r="A190">
        <v>1452</v>
      </c>
      <c r="B190" t="s">
        <v>39</v>
      </c>
      <c r="C190" t="s">
        <v>843</v>
      </c>
      <c r="D190" t="s">
        <v>843</v>
      </c>
      <c r="E190" t="s">
        <v>844</v>
      </c>
      <c r="F190" t="s">
        <v>153</v>
      </c>
      <c r="G190" t="s">
        <v>24</v>
      </c>
      <c r="H190" t="s">
        <v>21</v>
      </c>
      <c r="I190" t="s">
        <v>16</v>
      </c>
      <c r="J190" t="s">
        <v>27</v>
      </c>
      <c r="K190" t="s">
        <v>18</v>
      </c>
      <c r="L190" t="s">
        <v>209</v>
      </c>
      <c r="M190" t="s">
        <v>71</v>
      </c>
      <c r="N190">
        <v>2028</v>
      </c>
      <c r="O190" t="s">
        <v>133</v>
      </c>
      <c r="P190">
        <v>14</v>
      </c>
      <c r="Q190" t="s">
        <v>731</v>
      </c>
      <c r="R190" t="s">
        <v>17</v>
      </c>
      <c r="S190" t="s">
        <v>842</v>
      </c>
      <c r="AO190" s="40">
        <v>45294.43954861111</v>
      </c>
      <c r="AP190" s="40"/>
      <c r="AQ190" s="41">
        <v>45324</v>
      </c>
      <c r="AR190" s="40">
        <v>45294.43954861111</v>
      </c>
    </row>
    <row r="191" spans="1:44" x14ac:dyDescent="0.25">
      <c r="A191">
        <v>1453</v>
      </c>
      <c r="B191" t="s">
        <v>39</v>
      </c>
      <c r="C191" t="s">
        <v>1631</v>
      </c>
      <c r="D191" t="s">
        <v>1631</v>
      </c>
      <c r="E191" t="s">
        <v>1632</v>
      </c>
      <c r="F191" t="s">
        <v>153</v>
      </c>
      <c r="G191" t="s">
        <v>24</v>
      </c>
      <c r="H191" t="s">
        <v>21</v>
      </c>
      <c r="I191" t="s">
        <v>16</v>
      </c>
      <c r="J191" t="s">
        <v>27</v>
      </c>
      <c r="K191" t="s">
        <v>18</v>
      </c>
      <c r="L191" t="s">
        <v>72</v>
      </c>
      <c r="M191" t="s">
        <v>543</v>
      </c>
      <c r="N191">
        <v>2028</v>
      </c>
      <c r="O191" t="s">
        <v>133</v>
      </c>
      <c r="P191" t="s">
        <v>729</v>
      </c>
      <c r="Q191" t="s">
        <v>585</v>
      </c>
      <c r="R191" t="s">
        <v>17</v>
      </c>
      <c r="S191" t="s">
        <v>1633</v>
      </c>
      <c r="AO191">
        <v>45294.459467592591</v>
      </c>
      <c r="AQ191">
        <v>45324</v>
      </c>
      <c r="AR191">
        <v>45294.459467592591</v>
      </c>
    </row>
    <row r="192" spans="1:44" x14ac:dyDescent="0.25">
      <c r="A192">
        <v>1454</v>
      </c>
      <c r="B192" t="s">
        <v>39</v>
      </c>
      <c r="C192" t="s">
        <v>846</v>
      </c>
      <c r="D192" t="s">
        <v>846</v>
      </c>
      <c r="E192" t="s">
        <v>847</v>
      </c>
      <c r="F192" t="s">
        <v>153</v>
      </c>
      <c r="G192" t="s">
        <v>24</v>
      </c>
      <c r="H192" t="s">
        <v>21</v>
      </c>
      <c r="I192" t="s">
        <v>23</v>
      </c>
      <c r="J192" t="s">
        <v>27</v>
      </c>
      <c r="K192" t="s">
        <v>18</v>
      </c>
      <c r="L192" t="s">
        <v>71</v>
      </c>
      <c r="M192" t="s">
        <v>71</v>
      </c>
      <c r="N192">
        <v>2028</v>
      </c>
      <c r="O192" t="s">
        <v>133</v>
      </c>
      <c r="P192" t="s">
        <v>729</v>
      </c>
      <c r="Q192" t="s">
        <v>731</v>
      </c>
      <c r="R192" t="s">
        <v>17</v>
      </c>
      <c r="S192" t="s">
        <v>845</v>
      </c>
      <c r="AO192" s="40">
        <v>45294.459374999999</v>
      </c>
      <c r="AP192" s="40"/>
      <c r="AQ192" s="41">
        <v>45324</v>
      </c>
      <c r="AR192" s="40">
        <v>45294.459374999999</v>
      </c>
    </row>
    <row r="193" spans="1:44" x14ac:dyDescent="0.25">
      <c r="A193">
        <v>1455</v>
      </c>
      <c r="B193" t="s">
        <v>39</v>
      </c>
      <c r="C193" t="s">
        <v>849</v>
      </c>
      <c r="D193" t="s">
        <v>849</v>
      </c>
      <c r="E193" t="s">
        <v>847</v>
      </c>
      <c r="F193" t="s">
        <v>153</v>
      </c>
      <c r="G193" t="s">
        <v>24</v>
      </c>
      <c r="H193" t="s">
        <v>21</v>
      </c>
      <c r="I193" t="s">
        <v>19</v>
      </c>
      <c r="J193" t="s">
        <v>27</v>
      </c>
      <c r="K193" t="s">
        <v>18</v>
      </c>
      <c r="L193" t="s">
        <v>71</v>
      </c>
      <c r="M193" t="s">
        <v>71</v>
      </c>
      <c r="N193">
        <v>2028</v>
      </c>
      <c r="O193" t="s">
        <v>133</v>
      </c>
      <c r="P193" t="s">
        <v>729</v>
      </c>
      <c r="Q193" t="s">
        <v>731</v>
      </c>
      <c r="R193" t="s">
        <v>17</v>
      </c>
      <c r="S193" t="s">
        <v>848</v>
      </c>
      <c r="AO193" s="40">
        <v>45294.45925925926</v>
      </c>
      <c r="AP193" s="40"/>
      <c r="AQ193" s="41">
        <v>45324</v>
      </c>
      <c r="AR193" s="40">
        <v>45294.45925925926</v>
      </c>
    </row>
    <row r="194" spans="1:44" x14ac:dyDescent="0.25">
      <c r="A194">
        <v>1456</v>
      </c>
      <c r="B194" t="s">
        <v>39</v>
      </c>
      <c r="C194" t="s">
        <v>1566</v>
      </c>
      <c r="D194" t="s">
        <v>1566</v>
      </c>
      <c r="E194" t="s">
        <v>851</v>
      </c>
      <c r="F194" t="s">
        <v>153</v>
      </c>
      <c r="G194" t="s">
        <v>24</v>
      </c>
      <c r="H194" t="s">
        <v>21</v>
      </c>
      <c r="I194" t="s">
        <v>19</v>
      </c>
      <c r="J194" t="s">
        <v>20</v>
      </c>
      <c r="K194" t="s">
        <v>18</v>
      </c>
      <c r="L194" t="s">
        <v>771</v>
      </c>
      <c r="M194" t="s">
        <v>771</v>
      </c>
      <c r="N194">
        <v>2027</v>
      </c>
      <c r="O194" t="s">
        <v>133</v>
      </c>
      <c r="P194" t="s">
        <v>729</v>
      </c>
      <c r="Q194" t="s">
        <v>735</v>
      </c>
      <c r="R194" t="s">
        <v>17</v>
      </c>
      <c r="S194" t="s">
        <v>850</v>
      </c>
      <c r="AO194" s="40">
        <v>45294.452974537038</v>
      </c>
      <c r="AP194" s="40"/>
      <c r="AQ194" s="41">
        <v>45324</v>
      </c>
      <c r="AR194" s="40">
        <v>45294.452974537038</v>
      </c>
    </row>
    <row r="195" spans="1:44" x14ac:dyDescent="0.25">
      <c r="A195">
        <v>1457</v>
      </c>
      <c r="B195" t="s">
        <v>39</v>
      </c>
      <c r="C195" t="s">
        <v>853</v>
      </c>
      <c r="D195" t="s">
        <v>853</v>
      </c>
      <c r="E195" t="s">
        <v>854</v>
      </c>
      <c r="F195" t="s">
        <v>153</v>
      </c>
      <c r="G195" t="s">
        <v>24</v>
      </c>
      <c r="H195" t="s">
        <v>21</v>
      </c>
      <c r="I195" t="s">
        <v>23</v>
      </c>
      <c r="J195" t="s">
        <v>27</v>
      </c>
      <c r="K195" t="s">
        <v>18</v>
      </c>
      <c r="L195" t="s">
        <v>855</v>
      </c>
      <c r="M195" t="s">
        <v>855</v>
      </c>
      <c r="N195">
        <v>2031</v>
      </c>
      <c r="O195" t="s">
        <v>133</v>
      </c>
      <c r="P195" t="s">
        <v>729</v>
      </c>
      <c r="Q195" t="s">
        <v>731</v>
      </c>
      <c r="R195" t="s">
        <v>17</v>
      </c>
      <c r="S195" t="s">
        <v>852</v>
      </c>
      <c r="AO195" s="40">
        <v>45294.455254629633</v>
      </c>
      <c r="AP195" s="40"/>
      <c r="AQ195" s="41">
        <v>45324</v>
      </c>
      <c r="AR195" s="40">
        <v>45294.455254629633</v>
      </c>
    </row>
    <row r="196" spans="1:44" x14ac:dyDescent="0.25">
      <c r="A196">
        <v>1458</v>
      </c>
      <c r="B196" t="s">
        <v>39</v>
      </c>
      <c r="C196" t="s">
        <v>857</v>
      </c>
      <c r="D196" t="s">
        <v>857</v>
      </c>
      <c r="E196" t="s">
        <v>207</v>
      </c>
      <c r="F196" t="s">
        <v>207</v>
      </c>
      <c r="G196" t="s">
        <v>24</v>
      </c>
      <c r="H196" t="s">
        <v>21</v>
      </c>
      <c r="I196" t="s">
        <v>19</v>
      </c>
      <c r="J196" t="s">
        <v>20</v>
      </c>
      <c r="K196" t="s">
        <v>18</v>
      </c>
      <c r="L196" t="s">
        <v>858</v>
      </c>
      <c r="M196" t="s">
        <v>858</v>
      </c>
      <c r="N196">
        <v>2030</v>
      </c>
      <c r="O196" t="s">
        <v>133</v>
      </c>
      <c r="P196" t="s">
        <v>729</v>
      </c>
      <c r="Q196" t="s">
        <v>735</v>
      </c>
      <c r="R196" t="s">
        <v>17</v>
      </c>
      <c r="S196" t="s">
        <v>856</v>
      </c>
      <c r="AO196" s="40">
        <v>45294.458587962959</v>
      </c>
      <c r="AP196" s="40"/>
      <c r="AQ196" s="41">
        <v>45324</v>
      </c>
      <c r="AR196" s="40">
        <v>45294.458587962959</v>
      </c>
    </row>
    <row r="197" spans="1:44" x14ac:dyDescent="0.25">
      <c r="A197">
        <v>1459</v>
      </c>
      <c r="B197" t="s">
        <v>39</v>
      </c>
      <c r="C197" t="s">
        <v>860</v>
      </c>
      <c r="D197" t="s">
        <v>860</v>
      </c>
      <c r="E197" t="s">
        <v>207</v>
      </c>
      <c r="F197" t="s">
        <v>207</v>
      </c>
      <c r="G197" t="s">
        <v>24</v>
      </c>
      <c r="H197" t="s">
        <v>21</v>
      </c>
      <c r="I197" t="s">
        <v>19</v>
      </c>
      <c r="J197" t="s">
        <v>20</v>
      </c>
      <c r="K197" t="s">
        <v>18</v>
      </c>
      <c r="L197" t="s">
        <v>861</v>
      </c>
      <c r="M197" t="s">
        <v>861</v>
      </c>
      <c r="N197">
        <v>2028</v>
      </c>
      <c r="O197" t="s">
        <v>133</v>
      </c>
      <c r="P197" t="s">
        <v>729</v>
      </c>
      <c r="Q197" t="s">
        <v>731</v>
      </c>
      <c r="R197" t="s">
        <v>17</v>
      </c>
      <c r="S197" t="s">
        <v>859</v>
      </c>
      <c r="AO197" s="40">
        <v>45294.462997685187</v>
      </c>
      <c r="AP197" s="40"/>
      <c r="AQ197" s="41">
        <v>45324</v>
      </c>
      <c r="AR197" s="40">
        <v>45294.462997685187</v>
      </c>
    </row>
    <row r="198" spans="1:44" ht="45" x14ac:dyDescent="0.25">
      <c r="A198">
        <v>1460</v>
      </c>
      <c r="B198" t="s">
        <v>39</v>
      </c>
      <c r="C198" s="25" t="s">
        <v>1567</v>
      </c>
      <c r="D198" s="25" t="s">
        <v>1567</v>
      </c>
      <c r="E198" t="s">
        <v>153</v>
      </c>
      <c r="F198" t="s">
        <v>153</v>
      </c>
      <c r="G198" t="s">
        <v>24</v>
      </c>
      <c r="H198" t="s">
        <v>21</v>
      </c>
      <c r="I198" t="s">
        <v>16</v>
      </c>
      <c r="J198" t="s">
        <v>27</v>
      </c>
      <c r="K198" t="s">
        <v>33</v>
      </c>
      <c r="L198" s="25" t="s">
        <v>862</v>
      </c>
      <c r="M198" t="s">
        <v>71</v>
      </c>
      <c r="N198">
        <v>2028</v>
      </c>
      <c r="O198" t="s">
        <v>133</v>
      </c>
      <c r="P198">
        <v>47.76</v>
      </c>
      <c r="Q198" t="s">
        <v>731</v>
      </c>
      <c r="R198" t="s">
        <v>17</v>
      </c>
      <c r="S198" t="str">
        <f>N198&amp;"-"&amp;A198</f>
        <v>2028-1460</v>
      </c>
      <c r="AO198" s="40">
        <v>45294.46974537037</v>
      </c>
      <c r="AP198" s="40"/>
      <c r="AQ198" s="41">
        <v>45324</v>
      </c>
      <c r="AR198" s="40">
        <v>45294.46974537037</v>
      </c>
    </row>
    <row r="199" spans="1:44" ht="45" x14ac:dyDescent="0.25">
      <c r="A199">
        <v>1461</v>
      </c>
      <c r="B199" t="s">
        <v>39</v>
      </c>
      <c r="C199" s="25" t="s">
        <v>864</v>
      </c>
      <c r="D199" t="s">
        <v>865</v>
      </c>
      <c r="E199" t="s">
        <v>153</v>
      </c>
      <c r="F199" t="s">
        <v>153</v>
      </c>
      <c r="G199" t="s">
        <v>24</v>
      </c>
      <c r="H199" t="s">
        <v>21</v>
      </c>
      <c r="I199" t="s">
        <v>16</v>
      </c>
      <c r="J199" t="s">
        <v>20</v>
      </c>
      <c r="K199" t="s">
        <v>18</v>
      </c>
      <c r="L199" t="s">
        <v>546</v>
      </c>
      <c r="M199" t="s">
        <v>548</v>
      </c>
      <c r="N199">
        <v>2034</v>
      </c>
      <c r="O199" t="s">
        <v>133</v>
      </c>
      <c r="P199">
        <v>3.1</v>
      </c>
      <c r="Q199" t="s">
        <v>735</v>
      </c>
      <c r="R199" t="s">
        <v>17</v>
      </c>
      <c r="S199" t="s">
        <v>863</v>
      </c>
      <c r="AO199" s="40">
        <v>45294.474143518521</v>
      </c>
      <c r="AP199" s="40"/>
      <c r="AQ199" s="41">
        <v>45324</v>
      </c>
      <c r="AR199" s="40">
        <v>45294.474143518521</v>
      </c>
    </row>
    <row r="200" spans="1:44" x14ac:dyDescent="0.25">
      <c r="A200">
        <v>1462</v>
      </c>
      <c r="B200" t="s">
        <v>39</v>
      </c>
      <c r="C200" t="s">
        <v>867</v>
      </c>
      <c r="D200" t="s">
        <v>867</v>
      </c>
      <c r="E200" t="s">
        <v>207</v>
      </c>
      <c r="F200" t="s">
        <v>207</v>
      </c>
      <c r="G200" t="s">
        <v>24</v>
      </c>
      <c r="H200" t="s">
        <v>21</v>
      </c>
      <c r="I200" t="s">
        <v>19</v>
      </c>
      <c r="J200" t="s">
        <v>20</v>
      </c>
      <c r="K200" t="s">
        <v>18</v>
      </c>
      <c r="L200" t="s">
        <v>868</v>
      </c>
      <c r="M200" t="s">
        <v>868</v>
      </c>
      <c r="N200">
        <v>2027</v>
      </c>
      <c r="O200" t="s">
        <v>133</v>
      </c>
      <c r="P200" t="s">
        <v>729</v>
      </c>
      <c r="Q200" t="s">
        <v>735</v>
      </c>
      <c r="R200" t="s">
        <v>17</v>
      </c>
      <c r="S200" t="s">
        <v>866</v>
      </c>
      <c r="AO200" s="40">
        <v>45294.58048611111</v>
      </c>
      <c r="AP200" s="40"/>
      <c r="AQ200" s="41">
        <v>45324</v>
      </c>
      <c r="AR200" s="40">
        <v>45294.58048611111</v>
      </c>
    </row>
    <row r="201" spans="1:44" x14ac:dyDescent="0.25">
      <c r="A201">
        <v>1463</v>
      </c>
      <c r="B201" t="s">
        <v>39</v>
      </c>
      <c r="C201" t="s">
        <v>870</v>
      </c>
      <c r="D201" t="s">
        <v>870</v>
      </c>
      <c r="E201" t="s">
        <v>207</v>
      </c>
      <c r="F201" t="s">
        <v>207</v>
      </c>
      <c r="G201" t="s">
        <v>24</v>
      </c>
      <c r="H201" t="s">
        <v>21</v>
      </c>
      <c r="I201" t="s">
        <v>19</v>
      </c>
      <c r="J201" t="s">
        <v>20</v>
      </c>
      <c r="K201" t="s">
        <v>18</v>
      </c>
      <c r="L201" t="s">
        <v>871</v>
      </c>
      <c r="M201" t="s">
        <v>871</v>
      </c>
      <c r="N201">
        <v>2027</v>
      </c>
      <c r="O201" t="s">
        <v>133</v>
      </c>
      <c r="P201" t="s">
        <v>729</v>
      </c>
      <c r="Q201" t="s">
        <v>735</v>
      </c>
      <c r="R201" t="s">
        <v>17</v>
      </c>
      <c r="S201" t="s">
        <v>869</v>
      </c>
      <c r="AO201" s="40">
        <v>45294.580763888887</v>
      </c>
      <c r="AP201" s="40"/>
      <c r="AQ201" s="41">
        <v>45324</v>
      </c>
      <c r="AR201" s="40">
        <v>45294.580763888887</v>
      </c>
    </row>
    <row r="202" spans="1:44" x14ac:dyDescent="0.25">
      <c r="A202">
        <v>1464</v>
      </c>
      <c r="B202" t="s">
        <v>39</v>
      </c>
      <c r="C202" t="s">
        <v>1634</v>
      </c>
      <c r="D202" t="s">
        <v>1634</v>
      </c>
      <c r="E202" t="s">
        <v>1635</v>
      </c>
      <c r="F202" t="s">
        <v>153</v>
      </c>
      <c r="G202" t="s">
        <v>24</v>
      </c>
      <c r="H202" t="s">
        <v>21</v>
      </c>
      <c r="I202" t="s">
        <v>23</v>
      </c>
      <c r="J202" t="s">
        <v>27</v>
      </c>
      <c r="K202" t="s">
        <v>1110</v>
      </c>
      <c r="L202" t="s">
        <v>546</v>
      </c>
      <c r="M202" t="s">
        <v>546</v>
      </c>
      <c r="N202">
        <v>2030</v>
      </c>
      <c r="O202" t="s">
        <v>133</v>
      </c>
      <c r="P202" t="s">
        <v>729</v>
      </c>
      <c r="Q202" t="s">
        <v>735</v>
      </c>
      <c r="R202" t="s">
        <v>17</v>
      </c>
      <c r="S202" t="s">
        <v>1636</v>
      </c>
      <c r="AO202">
        <v>45294.580972222226</v>
      </c>
      <c r="AQ202">
        <v>45324</v>
      </c>
      <c r="AR202">
        <v>45294.580972222226</v>
      </c>
    </row>
    <row r="203" spans="1:44" x14ac:dyDescent="0.25">
      <c r="A203">
        <v>1465</v>
      </c>
      <c r="B203" t="s">
        <v>39</v>
      </c>
      <c r="C203" t="s">
        <v>1637</v>
      </c>
      <c r="D203" t="s">
        <v>1637</v>
      </c>
      <c r="E203" t="s">
        <v>153</v>
      </c>
      <c r="F203" t="s">
        <v>153</v>
      </c>
      <c r="G203" t="s">
        <v>24</v>
      </c>
      <c r="H203" t="s">
        <v>21</v>
      </c>
      <c r="I203" t="s">
        <v>16</v>
      </c>
      <c r="J203" t="s">
        <v>20</v>
      </c>
      <c r="K203" t="s">
        <v>1110</v>
      </c>
      <c r="L203" t="s">
        <v>1638</v>
      </c>
      <c r="M203" t="s">
        <v>1639</v>
      </c>
      <c r="N203">
        <v>2030</v>
      </c>
      <c r="O203" t="s">
        <v>133</v>
      </c>
      <c r="P203">
        <v>0.45</v>
      </c>
      <c r="Q203" t="s">
        <v>735</v>
      </c>
      <c r="R203" t="s">
        <v>17</v>
      </c>
      <c r="S203" t="s">
        <v>1640</v>
      </c>
      <c r="AO203">
        <v>45294.533831018518</v>
      </c>
      <c r="AQ203">
        <v>45324</v>
      </c>
      <c r="AR203">
        <v>45294.533831018518</v>
      </c>
    </row>
    <row r="204" spans="1:44" ht="45" x14ac:dyDescent="0.25">
      <c r="A204">
        <v>1466</v>
      </c>
      <c r="B204" t="s">
        <v>39</v>
      </c>
      <c r="C204" s="25" t="s">
        <v>873</v>
      </c>
      <c r="D204" s="25" t="s">
        <v>873</v>
      </c>
      <c r="E204" t="s">
        <v>542</v>
      </c>
      <c r="F204" t="s">
        <v>153</v>
      </c>
      <c r="G204" t="s">
        <v>24</v>
      </c>
      <c r="H204" t="s">
        <v>21</v>
      </c>
      <c r="I204" t="s">
        <v>16</v>
      </c>
      <c r="J204" t="s">
        <v>20</v>
      </c>
      <c r="K204" t="s">
        <v>18</v>
      </c>
      <c r="L204" s="25" t="s">
        <v>874</v>
      </c>
      <c r="M204" t="s">
        <v>821</v>
      </c>
      <c r="N204">
        <v>2032</v>
      </c>
      <c r="O204" t="s">
        <v>133</v>
      </c>
      <c r="P204">
        <v>1.22</v>
      </c>
      <c r="Q204" t="s">
        <v>735</v>
      </c>
      <c r="R204" t="s">
        <v>17</v>
      </c>
      <c r="S204" t="s">
        <v>872</v>
      </c>
      <c r="AO204" s="40">
        <v>45294.536261574074</v>
      </c>
      <c r="AP204" s="40"/>
      <c r="AQ204" s="41">
        <v>45324</v>
      </c>
      <c r="AR204" s="40">
        <v>45294.536261574074</v>
      </c>
    </row>
    <row r="205" spans="1:44" x14ac:dyDescent="0.25">
      <c r="A205">
        <v>1467</v>
      </c>
      <c r="B205" t="s">
        <v>39</v>
      </c>
      <c r="C205" t="s">
        <v>876</v>
      </c>
      <c r="D205" t="s">
        <v>876</v>
      </c>
      <c r="E205" t="s">
        <v>542</v>
      </c>
      <c r="F205" t="s">
        <v>153</v>
      </c>
      <c r="G205" t="s">
        <v>24</v>
      </c>
      <c r="H205" t="s">
        <v>21</v>
      </c>
      <c r="I205" t="s">
        <v>16</v>
      </c>
      <c r="J205" t="s">
        <v>20</v>
      </c>
      <c r="K205" t="s">
        <v>18</v>
      </c>
      <c r="L205" t="s">
        <v>543</v>
      </c>
      <c r="M205" t="s">
        <v>552</v>
      </c>
      <c r="N205">
        <v>2032</v>
      </c>
      <c r="O205" t="s">
        <v>133</v>
      </c>
      <c r="P205">
        <v>6.61</v>
      </c>
      <c r="Q205" t="s">
        <v>735</v>
      </c>
      <c r="R205" t="s">
        <v>17</v>
      </c>
      <c r="S205" t="s">
        <v>875</v>
      </c>
      <c r="AO205" s="40">
        <v>45294.53875</v>
      </c>
      <c r="AP205" s="40"/>
      <c r="AQ205" s="41">
        <v>45324</v>
      </c>
      <c r="AR205" s="40">
        <v>45294.53875</v>
      </c>
    </row>
    <row r="206" spans="1:44" x14ac:dyDescent="0.25">
      <c r="A206">
        <v>1468</v>
      </c>
      <c r="B206" t="s">
        <v>39</v>
      </c>
      <c r="C206" t="s">
        <v>878</v>
      </c>
      <c r="D206" t="s">
        <v>878</v>
      </c>
      <c r="E206" t="s">
        <v>542</v>
      </c>
      <c r="F206" t="s">
        <v>153</v>
      </c>
      <c r="G206" t="s">
        <v>24</v>
      </c>
      <c r="H206" t="s">
        <v>21</v>
      </c>
      <c r="I206" t="s">
        <v>16</v>
      </c>
      <c r="J206" t="s">
        <v>20</v>
      </c>
      <c r="K206" t="s">
        <v>18</v>
      </c>
      <c r="L206" t="s">
        <v>543</v>
      </c>
      <c r="M206" t="s">
        <v>552</v>
      </c>
      <c r="N206">
        <v>2032</v>
      </c>
      <c r="O206" t="s">
        <v>133</v>
      </c>
      <c r="P206">
        <v>6.61</v>
      </c>
      <c r="Q206" t="s">
        <v>735</v>
      </c>
      <c r="R206" t="s">
        <v>17</v>
      </c>
      <c r="S206" t="s">
        <v>877</v>
      </c>
      <c r="AO206" s="40">
        <v>45294.539942129632</v>
      </c>
      <c r="AP206" s="40"/>
      <c r="AQ206" s="41">
        <v>45324</v>
      </c>
      <c r="AR206" s="40">
        <v>45294.539942129632</v>
      </c>
    </row>
    <row r="207" spans="1:44" x14ac:dyDescent="0.25">
      <c r="A207">
        <v>1469</v>
      </c>
      <c r="B207" t="s">
        <v>39</v>
      </c>
      <c r="C207" t="s">
        <v>1641</v>
      </c>
      <c r="D207" t="s">
        <v>1641</v>
      </c>
      <c r="E207" t="s">
        <v>1628</v>
      </c>
      <c r="F207" t="s">
        <v>153</v>
      </c>
      <c r="G207" t="s">
        <v>24</v>
      </c>
      <c r="H207" t="s">
        <v>21</v>
      </c>
      <c r="I207" t="s">
        <v>23</v>
      </c>
      <c r="J207" t="s">
        <v>20</v>
      </c>
      <c r="K207" t="s">
        <v>1110</v>
      </c>
      <c r="L207" t="s">
        <v>1642</v>
      </c>
      <c r="M207" t="s">
        <v>1642</v>
      </c>
      <c r="N207">
        <v>2030</v>
      </c>
      <c r="O207" t="s">
        <v>133</v>
      </c>
      <c r="P207" t="s">
        <v>729</v>
      </c>
      <c r="Q207" t="s">
        <v>735</v>
      </c>
      <c r="R207" t="s">
        <v>17</v>
      </c>
      <c r="S207" t="s">
        <v>1643</v>
      </c>
      <c r="AO207">
        <v>45294.544444444444</v>
      </c>
      <c r="AQ207">
        <v>45324</v>
      </c>
      <c r="AR207">
        <v>45294.544444444444</v>
      </c>
    </row>
    <row r="208" spans="1:44" x14ac:dyDescent="0.25">
      <c r="A208">
        <v>1470</v>
      </c>
      <c r="B208" t="s">
        <v>39</v>
      </c>
      <c r="C208" t="s">
        <v>880</v>
      </c>
      <c r="D208" t="s">
        <v>880</v>
      </c>
      <c r="E208" t="s">
        <v>568</v>
      </c>
      <c r="F208" t="s">
        <v>153</v>
      </c>
      <c r="G208" t="s">
        <v>24</v>
      </c>
      <c r="H208" t="s">
        <v>21</v>
      </c>
      <c r="I208" t="s">
        <v>19</v>
      </c>
      <c r="J208" t="s">
        <v>20</v>
      </c>
      <c r="K208" t="s">
        <v>18</v>
      </c>
      <c r="L208" t="s">
        <v>881</v>
      </c>
      <c r="M208" t="s">
        <v>881</v>
      </c>
      <c r="N208">
        <v>2031</v>
      </c>
      <c r="O208" t="s">
        <v>133</v>
      </c>
      <c r="P208" t="s">
        <v>729</v>
      </c>
      <c r="Q208" t="s">
        <v>735</v>
      </c>
      <c r="R208" t="s">
        <v>17</v>
      </c>
      <c r="S208" t="s">
        <v>879</v>
      </c>
      <c r="AO208" s="40">
        <v>45294.547372685185</v>
      </c>
      <c r="AP208" s="40"/>
      <c r="AQ208" s="41">
        <v>45324</v>
      </c>
      <c r="AR208" s="40">
        <v>45294.547372685185</v>
      </c>
    </row>
    <row r="209" spans="1:44" x14ac:dyDescent="0.25">
      <c r="A209">
        <v>1471</v>
      </c>
      <c r="B209" t="s">
        <v>39</v>
      </c>
      <c r="C209" t="s">
        <v>1644</v>
      </c>
      <c r="D209" t="s">
        <v>1644</v>
      </c>
      <c r="E209" t="s">
        <v>1628</v>
      </c>
      <c r="F209" t="s">
        <v>153</v>
      </c>
      <c r="G209" t="s">
        <v>24</v>
      </c>
      <c r="H209" t="s">
        <v>21</v>
      </c>
      <c r="I209" t="s">
        <v>23</v>
      </c>
      <c r="J209" t="s">
        <v>20</v>
      </c>
      <c r="K209" t="s">
        <v>1110</v>
      </c>
      <c r="L209" t="s">
        <v>543</v>
      </c>
      <c r="M209" t="s">
        <v>543</v>
      </c>
      <c r="N209">
        <v>2032</v>
      </c>
      <c r="O209" t="s">
        <v>133</v>
      </c>
      <c r="P209" t="s">
        <v>729</v>
      </c>
      <c r="Q209" t="s">
        <v>735</v>
      </c>
      <c r="R209" t="s">
        <v>17</v>
      </c>
      <c r="S209" t="s">
        <v>1645</v>
      </c>
      <c r="AO209">
        <v>45294.550324074073</v>
      </c>
      <c r="AQ209">
        <v>45324</v>
      </c>
      <c r="AR209">
        <v>45294.550324074073</v>
      </c>
    </row>
    <row r="210" spans="1:44" x14ac:dyDescent="0.25">
      <c r="A210">
        <v>1472</v>
      </c>
      <c r="B210" t="s">
        <v>39</v>
      </c>
      <c r="C210" t="s">
        <v>1646</v>
      </c>
      <c r="D210" t="s">
        <v>1646</v>
      </c>
      <c r="E210" t="s">
        <v>1628</v>
      </c>
      <c r="F210" t="s">
        <v>153</v>
      </c>
      <c r="G210" t="s">
        <v>24</v>
      </c>
      <c r="H210" t="s">
        <v>21</v>
      </c>
      <c r="I210" t="s">
        <v>23</v>
      </c>
      <c r="J210" t="s">
        <v>20</v>
      </c>
      <c r="K210" t="s">
        <v>1110</v>
      </c>
      <c r="L210" t="s">
        <v>1629</v>
      </c>
      <c r="M210" t="s">
        <v>543</v>
      </c>
      <c r="N210">
        <v>2032</v>
      </c>
      <c r="O210" t="s">
        <v>133</v>
      </c>
      <c r="P210" t="s">
        <v>729</v>
      </c>
      <c r="Q210" t="s">
        <v>735</v>
      </c>
      <c r="R210" t="s">
        <v>17</v>
      </c>
      <c r="S210" t="s">
        <v>1647</v>
      </c>
      <c r="AO210">
        <v>45294.551712962966</v>
      </c>
      <c r="AQ210">
        <v>45324</v>
      </c>
      <c r="AR210">
        <v>45294.551712962966</v>
      </c>
    </row>
    <row r="211" spans="1:44" x14ac:dyDescent="0.25">
      <c r="A211">
        <v>1473</v>
      </c>
      <c r="B211" t="s">
        <v>39</v>
      </c>
      <c r="C211" t="s">
        <v>1648</v>
      </c>
      <c r="D211" t="s">
        <v>1648</v>
      </c>
      <c r="E211" t="s">
        <v>542</v>
      </c>
      <c r="F211" t="s">
        <v>153</v>
      </c>
      <c r="G211" t="s">
        <v>24</v>
      </c>
      <c r="H211" t="s">
        <v>21</v>
      </c>
      <c r="I211" t="s">
        <v>23</v>
      </c>
      <c r="J211" t="s">
        <v>20</v>
      </c>
      <c r="K211" t="s">
        <v>1110</v>
      </c>
      <c r="L211" t="s">
        <v>882</v>
      </c>
      <c r="M211" t="s">
        <v>882</v>
      </c>
      <c r="N211">
        <v>2032</v>
      </c>
      <c r="O211" t="s">
        <v>133</v>
      </c>
      <c r="P211" t="s">
        <v>729</v>
      </c>
      <c r="Q211" t="s">
        <v>735</v>
      </c>
      <c r="R211" t="s">
        <v>17</v>
      </c>
      <c r="S211" t="s">
        <v>1649</v>
      </c>
      <c r="AO211">
        <v>45294.555347222224</v>
      </c>
      <c r="AQ211">
        <v>45324</v>
      </c>
      <c r="AR211">
        <v>45294.555347222224</v>
      </c>
    </row>
    <row r="212" spans="1:44" x14ac:dyDescent="0.25">
      <c r="A212">
        <v>1474</v>
      </c>
      <c r="B212" t="s">
        <v>39</v>
      </c>
      <c r="C212" t="s">
        <v>884</v>
      </c>
      <c r="D212" t="s">
        <v>884</v>
      </c>
      <c r="E212" t="s">
        <v>542</v>
      </c>
      <c r="F212" t="s">
        <v>153</v>
      </c>
      <c r="G212" t="s">
        <v>24</v>
      </c>
      <c r="H212" t="s">
        <v>21</v>
      </c>
      <c r="I212" t="s">
        <v>16</v>
      </c>
      <c r="J212" t="s">
        <v>20</v>
      </c>
      <c r="K212" t="s">
        <v>18</v>
      </c>
      <c r="L212" t="s">
        <v>543</v>
      </c>
      <c r="M212" t="s">
        <v>557</v>
      </c>
      <c r="N212">
        <v>2032</v>
      </c>
      <c r="O212" t="s">
        <v>133</v>
      </c>
      <c r="P212">
        <v>0.51200000000000001</v>
      </c>
      <c r="Q212" t="s">
        <v>735</v>
      </c>
      <c r="R212" t="s">
        <v>17</v>
      </c>
      <c r="S212" t="s">
        <v>883</v>
      </c>
      <c r="AO212" s="40">
        <v>45294.557384259257</v>
      </c>
      <c r="AP212" s="40"/>
      <c r="AQ212" s="41">
        <v>45324</v>
      </c>
      <c r="AR212" s="40">
        <v>45294.557384259257</v>
      </c>
    </row>
    <row r="213" spans="1:44" x14ac:dyDescent="0.25">
      <c r="A213">
        <v>1475</v>
      </c>
      <c r="B213" t="s">
        <v>39</v>
      </c>
      <c r="C213" t="s">
        <v>1650</v>
      </c>
      <c r="D213" t="s">
        <v>1650</v>
      </c>
      <c r="E213" t="s">
        <v>542</v>
      </c>
      <c r="F213" t="s">
        <v>153</v>
      </c>
      <c r="G213" t="s">
        <v>24</v>
      </c>
      <c r="H213" t="s">
        <v>21</v>
      </c>
      <c r="I213" t="s">
        <v>16</v>
      </c>
      <c r="J213" t="s">
        <v>20</v>
      </c>
      <c r="K213" t="s">
        <v>1110</v>
      </c>
      <c r="L213" t="s">
        <v>1651</v>
      </c>
      <c r="M213" t="s">
        <v>566</v>
      </c>
      <c r="N213">
        <v>2033</v>
      </c>
      <c r="O213" t="s">
        <v>133</v>
      </c>
      <c r="P213">
        <v>2</v>
      </c>
      <c r="Q213" t="s">
        <v>585</v>
      </c>
      <c r="R213" t="s">
        <v>17</v>
      </c>
      <c r="S213" t="s">
        <v>1652</v>
      </c>
      <c r="AO213">
        <v>45294.559884259259</v>
      </c>
      <c r="AQ213">
        <v>45324</v>
      </c>
      <c r="AR213">
        <v>45294.559884259259</v>
      </c>
    </row>
    <row r="214" spans="1:44" x14ac:dyDescent="0.25">
      <c r="A214">
        <v>1476</v>
      </c>
      <c r="B214" t="s">
        <v>61</v>
      </c>
      <c r="C214" t="s">
        <v>888</v>
      </c>
      <c r="D214" t="s">
        <v>889</v>
      </c>
      <c r="E214" t="s">
        <v>890</v>
      </c>
      <c r="F214" t="s">
        <v>891</v>
      </c>
      <c r="G214" t="s">
        <v>24</v>
      </c>
      <c r="H214" t="s">
        <v>21</v>
      </c>
      <c r="I214" t="s">
        <v>19</v>
      </c>
      <c r="J214" t="s">
        <v>27</v>
      </c>
      <c r="K214" t="s">
        <v>728</v>
      </c>
      <c r="L214" t="s">
        <v>892</v>
      </c>
      <c r="M214" t="s">
        <v>893</v>
      </c>
      <c r="N214" t="s">
        <v>1107</v>
      </c>
      <c r="O214" t="s">
        <v>133</v>
      </c>
      <c r="P214" t="s">
        <v>729</v>
      </c>
      <c r="Q214" t="s">
        <v>731</v>
      </c>
      <c r="R214" t="s">
        <v>17</v>
      </c>
      <c r="S214" t="str">
        <f t="shared" ref="S214:S220" si="6">N214&amp;"-"&amp;A214</f>
        <v>in-service-1476</v>
      </c>
      <c r="AO214" s="40"/>
      <c r="AP214" s="40"/>
      <c r="AQ214" s="41">
        <v>46057</v>
      </c>
      <c r="AR214" s="40">
        <v>45314.49627314815</v>
      </c>
    </row>
    <row r="215" spans="1:44" x14ac:dyDescent="0.25">
      <c r="A215">
        <v>1477</v>
      </c>
      <c r="B215" t="s">
        <v>65</v>
      </c>
      <c r="C215" t="s">
        <v>895</v>
      </c>
      <c r="D215" t="s">
        <v>896</v>
      </c>
      <c r="E215" t="s">
        <v>270</v>
      </c>
      <c r="F215" t="s">
        <v>539</v>
      </c>
      <c r="G215" t="s">
        <v>24</v>
      </c>
      <c r="H215" t="s">
        <v>21</v>
      </c>
      <c r="I215" t="s">
        <v>19</v>
      </c>
      <c r="J215" t="s">
        <v>20</v>
      </c>
      <c r="K215" t="s">
        <v>728</v>
      </c>
      <c r="L215" t="s">
        <v>897</v>
      </c>
      <c r="M215" t="s">
        <v>898</v>
      </c>
      <c r="N215">
        <v>2025</v>
      </c>
      <c r="O215" t="s">
        <v>150</v>
      </c>
      <c r="P215" t="s">
        <v>729</v>
      </c>
      <c r="Q215" t="s">
        <v>730</v>
      </c>
      <c r="R215" t="s">
        <v>17</v>
      </c>
      <c r="S215" t="str">
        <f t="shared" si="6"/>
        <v>2025-1477</v>
      </c>
      <c r="AO215" s="40"/>
      <c r="AP215" s="40"/>
      <c r="AQ215" s="41">
        <v>46062</v>
      </c>
      <c r="AR215" s="40">
        <v>45301.506608796299</v>
      </c>
    </row>
    <row r="216" spans="1:44" x14ac:dyDescent="0.25">
      <c r="A216">
        <v>1478</v>
      </c>
      <c r="B216" t="s">
        <v>65</v>
      </c>
      <c r="C216" t="s">
        <v>899</v>
      </c>
      <c r="D216" t="s">
        <v>900</v>
      </c>
      <c r="E216" t="s">
        <v>205</v>
      </c>
      <c r="F216" t="s">
        <v>539</v>
      </c>
      <c r="G216" t="s">
        <v>24</v>
      </c>
      <c r="H216" t="s">
        <v>21</v>
      </c>
      <c r="I216" t="s">
        <v>19</v>
      </c>
      <c r="J216" t="s">
        <v>30</v>
      </c>
      <c r="K216" t="s">
        <v>18</v>
      </c>
      <c r="L216" t="s">
        <v>901</v>
      </c>
      <c r="M216" t="s">
        <v>902</v>
      </c>
      <c r="N216">
        <v>2026</v>
      </c>
      <c r="O216" t="s">
        <v>150</v>
      </c>
      <c r="P216" t="s">
        <v>729</v>
      </c>
      <c r="Q216" t="s">
        <v>730</v>
      </c>
      <c r="R216" t="s">
        <v>17</v>
      </c>
      <c r="S216" t="str">
        <f t="shared" si="6"/>
        <v>2026-1478</v>
      </c>
      <c r="AO216" s="40"/>
      <c r="AP216" s="40"/>
      <c r="AQ216" s="41">
        <v>46062</v>
      </c>
      <c r="AR216" s="40">
        <v>45301.539293981485</v>
      </c>
    </row>
    <row r="217" spans="1:44" x14ac:dyDescent="0.25">
      <c r="A217">
        <v>1479</v>
      </c>
      <c r="B217" t="s">
        <v>65</v>
      </c>
      <c r="C217" t="s">
        <v>903</v>
      </c>
      <c r="D217" t="s">
        <v>904</v>
      </c>
      <c r="E217" t="s">
        <v>205</v>
      </c>
      <c r="F217" t="s">
        <v>539</v>
      </c>
      <c r="G217" t="s">
        <v>24</v>
      </c>
      <c r="H217" t="s">
        <v>21</v>
      </c>
      <c r="I217" t="s">
        <v>19</v>
      </c>
      <c r="J217" t="s">
        <v>20</v>
      </c>
      <c r="K217" t="s">
        <v>18</v>
      </c>
      <c r="L217" t="s">
        <v>905</v>
      </c>
      <c r="M217" t="s">
        <v>906</v>
      </c>
      <c r="N217">
        <v>2026</v>
      </c>
      <c r="O217" t="s">
        <v>150</v>
      </c>
      <c r="P217" t="s">
        <v>729</v>
      </c>
      <c r="Q217" t="s">
        <v>730</v>
      </c>
      <c r="R217" t="s">
        <v>17</v>
      </c>
      <c r="S217" t="str">
        <f t="shared" si="6"/>
        <v>2026-1479</v>
      </c>
      <c r="AO217" s="40">
        <v>45309.333506944444</v>
      </c>
      <c r="AP217" s="40"/>
      <c r="AQ217" s="41">
        <v>45324</v>
      </c>
      <c r="AR217" s="40">
        <v>45309.333506944444</v>
      </c>
    </row>
    <row r="218" spans="1:44" x14ac:dyDescent="0.25">
      <c r="A218">
        <v>1480</v>
      </c>
      <c r="B218" t="s">
        <v>65</v>
      </c>
      <c r="C218" t="s">
        <v>907</v>
      </c>
      <c r="D218" t="s">
        <v>908</v>
      </c>
      <c r="E218" t="s">
        <v>909</v>
      </c>
      <c r="F218" t="s">
        <v>153</v>
      </c>
      <c r="G218" t="s">
        <v>24</v>
      </c>
      <c r="H218" t="s">
        <v>21</v>
      </c>
      <c r="I218" t="s">
        <v>19</v>
      </c>
      <c r="J218" t="s">
        <v>30</v>
      </c>
      <c r="K218" t="s">
        <v>728</v>
      </c>
      <c r="L218" t="s">
        <v>910</v>
      </c>
      <c r="M218" t="s">
        <v>910</v>
      </c>
      <c r="N218">
        <v>2024</v>
      </c>
      <c r="O218" t="s">
        <v>150</v>
      </c>
      <c r="P218" t="s">
        <v>729</v>
      </c>
      <c r="Q218" t="s">
        <v>730</v>
      </c>
      <c r="R218" t="s">
        <v>17</v>
      </c>
      <c r="S218" t="str">
        <f t="shared" si="6"/>
        <v>2024-1480</v>
      </c>
      <c r="AO218" s="40"/>
      <c r="AP218" s="40"/>
      <c r="AQ218" s="41">
        <v>46062</v>
      </c>
      <c r="AR218" s="40">
        <v>45321.367152777777</v>
      </c>
    </row>
    <row r="219" spans="1:44" x14ac:dyDescent="0.25">
      <c r="A219">
        <v>1481</v>
      </c>
      <c r="B219" t="s">
        <v>65</v>
      </c>
      <c r="C219" t="s">
        <v>911</v>
      </c>
      <c r="D219" t="s">
        <v>912</v>
      </c>
      <c r="E219" t="s">
        <v>909</v>
      </c>
      <c r="F219" t="s">
        <v>153</v>
      </c>
      <c r="G219" t="s">
        <v>24</v>
      </c>
      <c r="H219" t="s">
        <v>729</v>
      </c>
      <c r="I219" t="s">
        <v>19</v>
      </c>
      <c r="J219" t="s">
        <v>20</v>
      </c>
      <c r="K219" t="s">
        <v>728</v>
      </c>
      <c r="L219" t="s">
        <v>913</v>
      </c>
      <c r="M219" t="s">
        <v>913</v>
      </c>
      <c r="N219">
        <v>2024</v>
      </c>
      <c r="O219" t="s">
        <v>150</v>
      </c>
      <c r="P219" t="s">
        <v>729</v>
      </c>
      <c r="Q219" t="s">
        <v>730</v>
      </c>
      <c r="R219" t="s">
        <v>17</v>
      </c>
      <c r="S219" t="str">
        <f t="shared" si="6"/>
        <v>2024-1481</v>
      </c>
      <c r="AO219" s="40"/>
      <c r="AP219" s="40"/>
      <c r="AQ219" s="41">
        <v>46062</v>
      </c>
      <c r="AR219" s="40">
        <v>45321.388715277775</v>
      </c>
    </row>
    <row r="220" spans="1:44" x14ac:dyDescent="0.25">
      <c r="A220">
        <v>1482</v>
      </c>
      <c r="B220" t="s">
        <v>65</v>
      </c>
      <c r="C220" t="s">
        <v>914</v>
      </c>
      <c r="D220" t="s">
        <v>915</v>
      </c>
      <c r="E220" t="s">
        <v>611</v>
      </c>
      <c r="F220" t="s">
        <v>296</v>
      </c>
      <c r="G220" t="s">
        <v>17</v>
      </c>
      <c r="H220" t="s">
        <v>612</v>
      </c>
      <c r="I220" t="s">
        <v>19</v>
      </c>
      <c r="J220" t="s">
        <v>27</v>
      </c>
      <c r="K220" t="s">
        <v>18</v>
      </c>
      <c r="L220" t="s">
        <v>916</v>
      </c>
      <c r="M220" t="s">
        <v>916</v>
      </c>
      <c r="N220">
        <v>2027</v>
      </c>
      <c r="O220" t="s">
        <v>150</v>
      </c>
      <c r="P220" t="s">
        <v>729</v>
      </c>
      <c r="Q220" t="s">
        <v>730</v>
      </c>
      <c r="R220" t="s">
        <v>17</v>
      </c>
      <c r="S220" t="str">
        <f t="shared" si="6"/>
        <v>2027-1482</v>
      </c>
      <c r="AO220" s="40">
        <v>45321.388854166667</v>
      </c>
      <c r="AP220" s="40"/>
      <c r="AQ220" s="41">
        <v>45324</v>
      </c>
      <c r="AR220" s="40">
        <v>45321.388854166667</v>
      </c>
    </row>
    <row r="221" spans="1:44" x14ac:dyDescent="0.25">
      <c r="A221">
        <v>1502</v>
      </c>
      <c r="B221" t="s">
        <v>63</v>
      </c>
      <c r="C221" t="s">
        <v>920</v>
      </c>
      <c r="D221" t="s">
        <v>921</v>
      </c>
      <c r="E221" t="s">
        <v>75</v>
      </c>
      <c r="F221" t="s">
        <v>153</v>
      </c>
      <c r="G221" t="s">
        <v>24</v>
      </c>
      <c r="H221" t="s">
        <v>21</v>
      </c>
      <c r="I221" t="s">
        <v>19</v>
      </c>
      <c r="J221" t="s">
        <v>30</v>
      </c>
      <c r="K221" t="s">
        <v>18</v>
      </c>
      <c r="L221" t="s">
        <v>920</v>
      </c>
      <c r="M221" t="s">
        <v>920</v>
      </c>
      <c r="N221">
        <v>2027</v>
      </c>
      <c r="O221" t="s">
        <v>150</v>
      </c>
      <c r="P221" t="s">
        <v>729</v>
      </c>
      <c r="Q221" t="s">
        <v>730</v>
      </c>
      <c r="R221" t="s">
        <v>17</v>
      </c>
      <c r="S221" t="s">
        <v>1568</v>
      </c>
      <c r="AO221" s="40"/>
      <c r="AP221" s="40"/>
      <c r="AQ221" s="41">
        <v>46063</v>
      </c>
      <c r="AR221" s="40">
        <v>45299.554351851853</v>
      </c>
    </row>
    <row r="222" spans="1:44" x14ac:dyDescent="0.25">
      <c r="A222">
        <v>1503</v>
      </c>
      <c r="B222" t="s">
        <v>63</v>
      </c>
      <c r="C222" t="s">
        <v>922</v>
      </c>
      <c r="D222" t="s">
        <v>923</v>
      </c>
      <c r="E222" t="s">
        <v>75</v>
      </c>
      <c r="F222" t="s">
        <v>153</v>
      </c>
      <c r="G222" t="s">
        <v>24</v>
      </c>
      <c r="H222" t="s">
        <v>21</v>
      </c>
      <c r="I222" t="s">
        <v>19</v>
      </c>
      <c r="J222" t="s">
        <v>14</v>
      </c>
      <c r="K222" t="s">
        <v>18</v>
      </c>
      <c r="L222" t="s">
        <v>922</v>
      </c>
      <c r="M222" t="s">
        <v>922</v>
      </c>
      <c r="N222">
        <v>2027</v>
      </c>
      <c r="O222" t="s">
        <v>150</v>
      </c>
      <c r="P222" t="s">
        <v>729</v>
      </c>
      <c r="Q222" t="s">
        <v>730</v>
      </c>
      <c r="R222" t="s">
        <v>17</v>
      </c>
      <c r="S222" t="s">
        <v>1568</v>
      </c>
      <c r="AO222" s="40"/>
      <c r="AP222" s="40"/>
      <c r="AQ222" s="41">
        <v>46063</v>
      </c>
      <c r="AR222" s="40">
        <v>45299.554259259261</v>
      </c>
    </row>
    <row r="223" spans="1:44" x14ac:dyDescent="0.25">
      <c r="A223">
        <v>1504</v>
      </c>
      <c r="B223" t="s">
        <v>63</v>
      </c>
      <c r="C223" t="s">
        <v>924</v>
      </c>
      <c r="D223" t="s">
        <v>925</v>
      </c>
      <c r="E223" t="s">
        <v>153</v>
      </c>
      <c r="F223" t="s">
        <v>153</v>
      </c>
      <c r="G223" t="s">
        <v>24</v>
      </c>
      <c r="H223" t="s">
        <v>21</v>
      </c>
      <c r="I223" t="s">
        <v>16</v>
      </c>
      <c r="J223" t="s">
        <v>20</v>
      </c>
      <c r="K223" t="s">
        <v>33</v>
      </c>
      <c r="L223" t="s">
        <v>926</v>
      </c>
      <c r="M223" t="s">
        <v>927</v>
      </c>
      <c r="N223" t="s">
        <v>22</v>
      </c>
      <c r="O223" t="s">
        <v>150</v>
      </c>
      <c r="P223">
        <v>0.5</v>
      </c>
      <c r="Q223" t="s">
        <v>730</v>
      </c>
      <c r="R223" t="s">
        <v>17</v>
      </c>
      <c r="S223" t="str">
        <f>N223&amp;"-"&amp;A223</f>
        <v>TBD-1504</v>
      </c>
      <c r="AO223" s="40">
        <v>45299.562488425923</v>
      </c>
      <c r="AP223" s="40"/>
      <c r="AQ223" s="41">
        <v>45324</v>
      </c>
      <c r="AR223" s="40">
        <v>45299.562488425923</v>
      </c>
    </row>
    <row r="224" spans="1:44" x14ac:dyDescent="0.25">
      <c r="A224">
        <v>1505</v>
      </c>
      <c r="B224" t="s">
        <v>63</v>
      </c>
      <c r="C224" t="s">
        <v>928</v>
      </c>
      <c r="D224" t="s">
        <v>929</v>
      </c>
      <c r="E224" t="s">
        <v>406</v>
      </c>
      <c r="F224" t="s">
        <v>460</v>
      </c>
      <c r="G224" t="s">
        <v>24</v>
      </c>
      <c r="H224" t="s">
        <v>21</v>
      </c>
      <c r="I224" t="s">
        <v>19</v>
      </c>
      <c r="J224" t="s">
        <v>20</v>
      </c>
      <c r="K224" t="s">
        <v>18</v>
      </c>
      <c r="L224" t="s">
        <v>930</v>
      </c>
      <c r="M224" t="s">
        <v>930</v>
      </c>
      <c r="N224">
        <v>2027</v>
      </c>
      <c r="O224" t="s">
        <v>21</v>
      </c>
      <c r="P224" t="s">
        <v>729</v>
      </c>
      <c r="Q224" t="s">
        <v>931</v>
      </c>
      <c r="R224" t="s">
        <v>17</v>
      </c>
      <c r="S224" t="s">
        <v>1568</v>
      </c>
      <c r="AO224" s="40"/>
      <c r="AP224" s="40"/>
      <c r="AQ224" s="41">
        <v>46063</v>
      </c>
      <c r="AR224" s="40">
        <v>45299.571736111109</v>
      </c>
    </row>
    <row r="225" spans="1:44" x14ac:dyDescent="0.25">
      <c r="A225">
        <v>1506</v>
      </c>
      <c r="B225" t="s">
        <v>63</v>
      </c>
      <c r="C225" t="s">
        <v>932</v>
      </c>
      <c r="D225" t="s">
        <v>933</v>
      </c>
      <c r="E225" t="s">
        <v>406</v>
      </c>
      <c r="F225" t="s">
        <v>460</v>
      </c>
      <c r="G225" t="s">
        <v>17</v>
      </c>
      <c r="H225" t="s">
        <v>677</v>
      </c>
      <c r="I225" t="s">
        <v>19</v>
      </c>
      <c r="J225" t="s">
        <v>20</v>
      </c>
      <c r="K225" t="s">
        <v>728</v>
      </c>
      <c r="L225" t="s">
        <v>934</v>
      </c>
      <c r="M225" t="s">
        <v>934</v>
      </c>
      <c r="N225">
        <v>2024</v>
      </c>
      <c r="O225" t="s">
        <v>150</v>
      </c>
      <c r="P225" t="s">
        <v>729</v>
      </c>
      <c r="Q225" t="s">
        <v>730</v>
      </c>
      <c r="R225" t="s">
        <v>17</v>
      </c>
      <c r="S225" t="s">
        <v>1573</v>
      </c>
      <c r="AO225" s="40"/>
      <c r="AP225" s="40"/>
      <c r="AQ225" s="41">
        <v>46063</v>
      </c>
      <c r="AR225" s="40">
        <v>45299.573935185188</v>
      </c>
    </row>
    <row r="226" spans="1:44" x14ac:dyDescent="0.25">
      <c r="A226">
        <v>1507</v>
      </c>
      <c r="B226" t="s">
        <v>63</v>
      </c>
      <c r="C226" t="s">
        <v>935</v>
      </c>
      <c r="D226" t="s">
        <v>936</v>
      </c>
      <c r="E226" t="s">
        <v>406</v>
      </c>
      <c r="F226" t="s">
        <v>460</v>
      </c>
      <c r="G226" t="s">
        <v>17</v>
      </c>
      <c r="H226" t="s">
        <v>677</v>
      </c>
      <c r="I226" t="s">
        <v>19</v>
      </c>
      <c r="J226" t="s">
        <v>20</v>
      </c>
      <c r="K226" t="s">
        <v>18</v>
      </c>
      <c r="L226" t="s">
        <v>937</v>
      </c>
      <c r="M226" t="s">
        <v>937</v>
      </c>
      <c r="N226">
        <v>2026</v>
      </c>
      <c r="O226" t="s">
        <v>150</v>
      </c>
      <c r="P226" t="s">
        <v>729</v>
      </c>
      <c r="Q226" t="s">
        <v>730</v>
      </c>
      <c r="R226" t="s">
        <v>17</v>
      </c>
      <c r="S226" t="s">
        <v>1572</v>
      </c>
      <c r="AO226" s="40"/>
      <c r="AP226" s="40"/>
      <c r="AQ226" s="41">
        <v>46063</v>
      </c>
      <c r="AR226" s="40">
        <v>45299.577997685185</v>
      </c>
    </row>
    <row r="227" spans="1:44" x14ac:dyDescent="0.25">
      <c r="A227">
        <v>1518</v>
      </c>
      <c r="B227" t="s">
        <v>166</v>
      </c>
      <c r="C227" t="s">
        <v>1227</v>
      </c>
      <c r="D227" t="s">
        <v>1228</v>
      </c>
      <c r="E227" t="s">
        <v>945</v>
      </c>
      <c r="F227" t="s">
        <v>629</v>
      </c>
      <c r="G227" t="s">
        <v>24</v>
      </c>
      <c r="H227" t="s">
        <v>21</v>
      </c>
      <c r="I227" t="s">
        <v>19</v>
      </c>
      <c r="J227" t="s">
        <v>14</v>
      </c>
      <c r="K227" t="s">
        <v>18</v>
      </c>
      <c r="L227" t="s">
        <v>1229</v>
      </c>
      <c r="M227" t="s">
        <v>1227</v>
      </c>
      <c r="N227">
        <v>2027</v>
      </c>
      <c r="O227" t="s">
        <v>133</v>
      </c>
      <c r="P227" t="s">
        <v>729</v>
      </c>
      <c r="Q227" t="s">
        <v>727</v>
      </c>
      <c r="R227" t="s">
        <v>17</v>
      </c>
      <c r="S227" t="str">
        <f t="shared" ref="S227:S236" si="7">N227&amp;"-"&amp;A227</f>
        <v>2027-1518</v>
      </c>
      <c r="AO227" s="40"/>
      <c r="AP227" s="40"/>
      <c r="AQ227" s="41">
        <v>46062</v>
      </c>
      <c r="AR227" s="40">
        <v>45314.609513888892</v>
      </c>
    </row>
    <row r="228" spans="1:44" x14ac:dyDescent="0.25">
      <c r="A228">
        <v>1519</v>
      </c>
      <c r="B228" t="s">
        <v>166</v>
      </c>
      <c r="C228" t="s">
        <v>1230</v>
      </c>
      <c r="D228" t="s">
        <v>1231</v>
      </c>
      <c r="E228" t="s">
        <v>945</v>
      </c>
      <c r="F228" t="s">
        <v>629</v>
      </c>
      <c r="G228" t="s">
        <v>24</v>
      </c>
      <c r="H228" t="s">
        <v>21</v>
      </c>
      <c r="I228" t="s">
        <v>16</v>
      </c>
      <c r="J228" t="s">
        <v>14</v>
      </c>
      <c r="K228" t="s">
        <v>18</v>
      </c>
      <c r="L228" t="s">
        <v>1229</v>
      </c>
      <c r="M228" t="s">
        <v>1227</v>
      </c>
      <c r="N228">
        <v>2027</v>
      </c>
      <c r="O228" t="s">
        <v>133</v>
      </c>
      <c r="P228">
        <v>18</v>
      </c>
      <c r="Q228" t="s">
        <v>727</v>
      </c>
      <c r="R228" t="s">
        <v>17</v>
      </c>
      <c r="S228" t="str">
        <f t="shared" si="7"/>
        <v>2027-1519</v>
      </c>
      <c r="AO228" s="40"/>
      <c r="AP228" s="40"/>
      <c r="AQ228" s="41">
        <v>46062</v>
      </c>
      <c r="AR228" s="40">
        <v>45314.61146990741</v>
      </c>
    </row>
    <row r="229" spans="1:44" x14ac:dyDescent="0.25">
      <c r="A229">
        <v>1520</v>
      </c>
      <c r="B229" t="s">
        <v>166</v>
      </c>
      <c r="C229" t="s">
        <v>946</v>
      </c>
      <c r="D229" t="s">
        <v>1232</v>
      </c>
      <c r="E229" t="s">
        <v>153</v>
      </c>
      <c r="F229" t="s">
        <v>631</v>
      </c>
      <c r="G229" t="s">
        <v>24</v>
      </c>
      <c r="H229" t="s">
        <v>21</v>
      </c>
      <c r="I229" t="s">
        <v>19</v>
      </c>
      <c r="J229" t="s">
        <v>14</v>
      </c>
      <c r="K229" t="s">
        <v>18</v>
      </c>
      <c r="L229" t="s">
        <v>405</v>
      </c>
      <c r="M229" t="s">
        <v>1179</v>
      </c>
      <c r="N229">
        <v>2026</v>
      </c>
      <c r="O229" t="s">
        <v>133</v>
      </c>
      <c r="P229" t="s">
        <v>729</v>
      </c>
      <c r="Q229" t="s">
        <v>727</v>
      </c>
      <c r="R229" t="s">
        <v>17</v>
      </c>
      <c r="S229" t="str">
        <f t="shared" si="7"/>
        <v>2026-1520</v>
      </c>
      <c r="AO229" s="40"/>
      <c r="AP229" s="40"/>
      <c r="AQ229" s="41">
        <v>46062</v>
      </c>
      <c r="AR229" s="40">
        <v>45314.614374999997</v>
      </c>
    </row>
    <row r="230" spans="1:44" x14ac:dyDescent="0.25">
      <c r="A230">
        <v>1521</v>
      </c>
      <c r="B230" t="s">
        <v>166</v>
      </c>
      <c r="C230" t="s">
        <v>1233</v>
      </c>
      <c r="D230" t="s">
        <v>1234</v>
      </c>
      <c r="E230" t="s">
        <v>153</v>
      </c>
      <c r="F230" t="s">
        <v>947</v>
      </c>
      <c r="G230" t="s">
        <v>24</v>
      </c>
      <c r="H230" t="s">
        <v>21</v>
      </c>
      <c r="I230" t="s">
        <v>16</v>
      </c>
      <c r="J230" t="s">
        <v>14</v>
      </c>
      <c r="K230" t="s">
        <v>18</v>
      </c>
      <c r="L230" t="s">
        <v>1235</v>
      </c>
      <c r="M230" t="s">
        <v>403</v>
      </c>
      <c r="N230">
        <v>2028</v>
      </c>
      <c r="O230" t="s">
        <v>133</v>
      </c>
      <c r="P230">
        <v>10</v>
      </c>
      <c r="Q230" t="s">
        <v>727</v>
      </c>
      <c r="R230" t="s">
        <v>17</v>
      </c>
      <c r="S230" t="str">
        <f t="shared" si="7"/>
        <v>2028-1521</v>
      </c>
      <c r="AO230" s="40"/>
      <c r="AP230" s="40"/>
      <c r="AQ230" s="41">
        <v>46062</v>
      </c>
      <c r="AR230" s="40">
        <v>45314.617731481485</v>
      </c>
    </row>
    <row r="231" spans="1:44" x14ac:dyDescent="0.25">
      <c r="A231">
        <v>1522</v>
      </c>
      <c r="B231" t="s">
        <v>166</v>
      </c>
      <c r="C231" t="s">
        <v>1236</v>
      </c>
      <c r="D231" t="s">
        <v>1237</v>
      </c>
      <c r="E231" t="s">
        <v>153</v>
      </c>
      <c r="F231" t="s">
        <v>631</v>
      </c>
      <c r="G231" t="s">
        <v>24</v>
      </c>
      <c r="H231" t="s">
        <v>21</v>
      </c>
      <c r="I231" t="s">
        <v>19</v>
      </c>
      <c r="J231" t="s">
        <v>14</v>
      </c>
      <c r="K231" t="s">
        <v>18</v>
      </c>
      <c r="L231" t="s">
        <v>1229</v>
      </c>
      <c r="M231" t="s">
        <v>1145</v>
      </c>
      <c r="N231">
        <v>2031</v>
      </c>
      <c r="O231" t="s">
        <v>133</v>
      </c>
      <c r="P231" t="s">
        <v>729</v>
      </c>
      <c r="Q231" t="s">
        <v>727</v>
      </c>
      <c r="R231" t="s">
        <v>17</v>
      </c>
      <c r="S231" t="str">
        <f t="shared" si="7"/>
        <v>2031-1522</v>
      </c>
      <c r="AO231" s="40"/>
      <c r="AP231" s="40"/>
      <c r="AQ231" s="41">
        <v>46062</v>
      </c>
      <c r="AR231" s="40">
        <v>45314.621354166666</v>
      </c>
    </row>
    <row r="232" spans="1:44" x14ac:dyDescent="0.25">
      <c r="A232">
        <v>1523</v>
      </c>
      <c r="B232" t="s">
        <v>166</v>
      </c>
      <c r="C232" t="s">
        <v>1238</v>
      </c>
      <c r="D232" t="s">
        <v>1239</v>
      </c>
      <c r="E232" t="s">
        <v>153</v>
      </c>
      <c r="F232" t="s">
        <v>948</v>
      </c>
      <c r="G232" t="s">
        <v>24</v>
      </c>
      <c r="H232" t="s">
        <v>21</v>
      </c>
      <c r="I232" t="s">
        <v>16</v>
      </c>
      <c r="J232" t="s">
        <v>14</v>
      </c>
      <c r="K232" t="s">
        <v>18</v>
      </c>
      <c r="L232" t="s">
        <v>1240</v>
      </c>
      <c r="M232" t="s">
        <v>1241</v>
      </c>
      <c r="N232">
        <v>2031</v>
      </c>
      <c r="O232" t="s">
        <v>133</v>
      </c>
      <c r="P232">
        <v>27</v>
      </c>
      <c r="Q232" t="s">
        <v>727</v>
      </c>
      <c r="R232" t="s">
        <v>17</v>
      </c>
      <c r="S232" t="str">
        <f t="shared" si="7"/>
        <v>2031-1523</v>
      </c>
      <c r="AO232" s="40"/>
      <c r="AP232" s="40"/>
      <c r="AQ232" s="41">
        <v>46062</v>
      </c>
      <c r="AR232" s="40">
        <v>45316.451562499999</v>
      </c>
    </row>
    <row r="233" spans="1:44" x14ac:dyDescent="0.25">
      <c r="A233">
        <v>1524</v>
      </c>
      <c r="B233" t="s">
        <v>166</v>
      </c>
      <c r="C233" t="s">
        <v>1242</v>
      </c>
      <c r="D233" t="s">
        <v>1243</v>
      </c>
      <c r="E233" t="s">
        <v>153</v>
      </c>
      <c r="F233" t="s">
        <v>153</v>
      </c>
      <c r="G233" t="s">
        <v>24</v>
      </c>
      <c r="H233" t="s">
        <v>21</v>
      </c>
      <c r="I233" t="s">
        <v>23</v>
      </c>
      <c r="J233" t="s">
        <v>14</v>
      </c>
      <c r="K233" t="s">
        <v>18</v>
      </c>
      <c r="L233" t="s">
        <v>1116</v>
      </c>
      <c r="M233" t="s">
        <v>1117</v>
      </c>
      <c r="N233">
        <v>2026</v>
      </c>
      <c r="O233" t="s">
        <v>133</v>
      </c>
      <c r="P233">
        <v>7</v>
      </c>
      <c r="Q233" t="s">
        <v>727</v>
      </c>
      <c r="R233" t="s">
        <v>17</v>
      </c>
      <c r="S233" t="str">
        <f t="shared" si="7"/>
        <v>2026-1524</v>
      </c>
      <c r="AO233" s="40"/>
      <c r="AP233" s="40"/>
      <c r="AQ233" s="41">
        <v>46062</v>
      </c>
      <c r="AR233" s="40">
        <v>45315.354895833334</v>
      </c>
    </row>
    <row r="234" spans="1:44" x14ac:dyDescent="0.25">
      <c r="A234">
        <v>1525</v>
      </c>
      <c r="B234" t="s">
        <v>166</v>
      </c>
      <c r="C234" t="s">
        <v>1244</v>
      </c>
      <c r="D234" t="s">
        <v>1245</v>
      </c>
      <c r="E234" t="s">
        <v>153</v>
      </c>
      <c r="F234" t="s">
        <v>631</v>
      </c>
      <c r="G234" t="s">
        <v>24</v>
      </c>
      <c r="H234" t="s">
        <v>21</v>
      </c>
      <c r="I234" t="s">
        <v>19</v>
      </c>
      <c r="J234" t="s">
        <v>14</v>
      </c>
      <c r="K234" t="s">
        <v>18</v>
      </c>
      <c r="L234" t="s">
        <v>1246</v>
      </c>
      <c r="M234" t="s">
        <v>1247</v>
      </c>
      <c r="N234">
        <v>2028</v>
      </c>
      <c r="O234" t="s">
        <v>133</v>
      </c>
      <c r="P234" t="s">
        <v>729</v>
      </c>
      <c r="Q234" t="s">
        <v>727</v>
      </c>
      <c r="R234" t="s">
        <v>17</v>
      </c>
      <c r="S234" t="str">
        <f t="shared" si="7"/>
        <v>2028-1525</v>
      </c>
      <c r="AO234" s="40"/>
      <c r="AP234" s="40"/>
      <c r="AQ234" s="41">
        <v>46062</v>
      </c>
      <c r="AR234" s="40">
        <v>45316.390474537038</v>
      </c>
    </row>
    <row r="235" spans="1:44" x14ac:dyDescent="0.25">
      <c r="A235">
        <v>1526</v>
      </c>
      <c r="B235" t="s">
        <v>166</v>
      </c>
      <c r="C235" t="s">
        <v>949</v>
      </c>
      <c r="D235" t="s">
        <v>1248</v>
      </c>
      <c r="E235" t="s">
        <v>75</v>
      </c>
      <c r="F235" t="s">
        <v>1249</v>
      </c>
      <c r="G235" t="s">
        <v>24</v>
      </c>
      <c r="H235" t="s">
        <v>21</v>
      </c>
      <c r="I235" t="s">
        <v>19</v>
      </c>
      <c r="J235" t="s">
        <v>14</v>
      </c>
      <c r="K235" t="s">
        <v>18</v>
      </c>
      <c r="L235" t="s">
        <v>1117</v>
      </c>
      <c r="M235" t="s">
        <v>1121</v>
      </c>
      <c r="N235">
        <v>2026</v>
      </c>
      <c r="O235" t="s">
        <v>133</v>
      </c>
      <c r="P235" t="s">
        <v>729</v>
      </c>
      <c r="Q235" t="s">
        <v>727</v>
      </c>
      <c r="R235" t="s">
        <v>17</v>
      </c>
      <c r="S235" t="str">
        <f t="shared" si="7"/>
        <v>2026-1526</v>
      </c>
      <c r="AO235" s="40"/>
      <c r="AP235" s="40"/>
      <c r="AQ235" s="41">
        <v>46062</v>
      </c>
      <c r="AR235" s="40">
        <v>45316.456967592596</v>
      </c>
    </row>
    <row r="236" spans="1:44" x14ac:dyDescent="0.25">
      <c r="A236">
        <v>1542</v>
      </c>
      <c r="B236" t="s">
        <v>167</v>
      </c>
      <c r="C236" t="s">
        <v>951</v>
      </c>
      <c r="D236" t="s">
        <v>427</v>
      </c>
      <c r="E236" t="s">
        <v>428</v>
      </c>
      <c r="F236" t="s">
        <v>153</v>
      </c>
      <c r="G236" t="s">
        <v>24</v>
      </c>
      <c r="H236" t="s">
        <v>21</v>
      </c>
      <c r="I236" t="s">
        <v>19</v>
      </c>
      <c r="J236" t="s">
        <v>20</v>
      </c>
      <c r="K236" t="s">
        <v>728</v>
      </c>
      <c r="L236" t="s">
        <v>952</v>
      </c>
      <c r="M236" t="s">
        <v>952</v>
      </c>
      <c r="N236">
        <v>2024</v>
      </c>
      <c r="O236" t="s">
        <v>150</v>
      </c>
      <c r="P236" t="s">
        <v>729</v>
      </c>
      <c r="Q236" t="s">
        <v>730</v>
      </c>
      <c r="R236" t="s">
        <v>17</v>
      </c>
      <c r="S236" t="str">
        <f t="shared" si="7"/>
        <v>2024-1542</v>
      </c>
      <c r="AO236" s="40"/>
      <c r="AP236" s="40"/>
      <c r="AQ236" s="41">
        <v>46057</v>
      </c>
      <c r="AR236" s="40">
        <v>45324.6094212963</v>
      </c>
    </row>
    <row r="237" spans="1:44" x14ac:dyDescent="0.25">
      <c r="A237">
        <v>1543</v>
      </c>
      <c r="B237" t="s">
        <v>167</v>
      </c>
      <c r="C237" t="s">
        <v>953</v>
      </c>
      <c r="D237" t="s">
        <v>954</v>
      </c>
      <c r="E237" t="s">
        <v>955</v>
      </c>
      <c r="F237" t="s">
        <v>153</v>
      </c>
      <c r="G237" t="s">
        <v>24</v>
      </c>
      <c r="H237" t="s">
        <v>21</v>
      </c>
      <c r="I237" t="s">
        <v>16</v>
      </c>
      <c r="J237" t="s">
        <v>20</v>
      </c>
      <c r="K237" t="s">
        <v>728</v>
      </c>
      <c r="L237" t="s">
        <v>956</v>
      </c>
      <c r="M237" t="s">
        <v>957</v>
      </c>
      <c r="N237">
        <v>2024</v>
      </c>
      <c r="O237" t="s">
        <v>150</v>
      </c>
      <c r="P237">
        <v>11</v>
      </c>
      <c r="Q237" t="s">
        <v>730</v>
      </c>
      <c r="R237" t="s">
        <v>17</v>
      </c>
      <c r="S237" t="str">
        <f t="shared" ref="S237:S266" si="8">N237&amp;"-"&amp;A237</f>
        <v>2024-1543</v>
      </c>
      <c r="AO237" s="40"/>
      <c r="AP237" s="40"/>
      <c r="AQ237" s="41">
        <v>46057</v>
      </c>
      <c r="AR237" s="40">
        <v>45324.628078703703</v>
      </c>
    </row>
    <row r="238" spans="1:44" x14ac:dyDescent="0.25">
      <c r="A238">
        <v>1544</v>
      </c>
      <c r="B238" t="s">
        <v>167</v>
      </c>
      <c r="C238" t="s">
        <v>958</v>
      </c>
      <c r="D238" t="s">
        <v>959</v>
      </c>
      <c r="E238" t="s">
        <v>955</v>
      </c>
      <c r="F238" t="s">
        <v>153</v>
      </c>
      <c r="G238" t="s">
        <v>24</v>
      </c>
      <c r="H238" t="s">
        <v>729</v>
      </c>
      <c r="I238" t="s">
        <v>16</v>
      </c>
      <c r="J238" t="s">
        <v>20</v>
      </c>
      <c r="K238" t="s">
        <v>728</v>
      </c>
      <c r="L238" t="s">
        <v>960</v>
      </c>
      <c r="M238" t="s">
        <v>426</v>
      </c>
      <c r="N238">
        <v>2024</v>
      </c>
      <c r="O238" t="s">
        <v>150</v>
      </c>
      <c r="P238">
        <v>4</v>
      </c>
      <c r="Q238" t="s">
        <v>730</v>
      </c>
      <c r="R238" t="s">
        <v>17</v>
      </c>
      <c r="S238" t="str">
        <f t="shared" si="8"/>
        <v>2024-1544</v>
      </c>
      <c r="AO238" s="40"/>
      <c r="AP238" s="40"/>
      <c r="AQ238" s="41">
        <v>46057</v>
      </c>
      <c r="AR238" s="40">
        <v>45324.618414351855</v>
      </c>
    </row>
    <row r="239" spans="1:44" x14ac:dyDescent="0.25">
      <c r="A239">
        <v>1545</v>
      </c>
      <c r="B239" t="s">
        <v>167</v>
      </c>
      <c r="C239" t="s">
        <v>961</v>
      </c>
      <c r="D239" t="s">
        <v>962</v>
      </c>
      <c r="E239" t="s">
        <v>963</v>
      </c>
      <c r="F239" t="s">
        <v>153</v>
      </c>
      <c r="G239" t="s">
        <v>24</v>
      </c>
      <c r="H239" t="s">
        <v>21</v>
      </c>
      <c r="I239" t="s">
        <v>16</v>
      </c>
      <c r="J239" t="s">
        <v>20</v>
      </c>
      <c r="K239" t="s">
        <v>728</v>
      </c>
      <c r="L239" t="s">
        <v>426</v>
      </c>
      <c r="M239" t="s">
        <v>964</v>
      </c>
      <c r="N239">
        <v>2024</v>
      </c>
      <c r="O239" t="s">
        <v>150</v>
      </c>
      <c r="P239">
        <v>4</v>
      </c>
      <c r="Q239" t="s">
        <v>730</v>
      </c>
      <c r="R239" t="s">
        <v>17</v>
      </c>
      <c r="S239" t="str">
        <f t="shared" si="8"/>
        <v>2024-1545</v>
      </c>
      <c r="AO239" s="40"/>
      <c r="AP239" s="40"/>
      <c r="AQ239" s="41">
        <v>46057</v>
      </c>
      <c r="AR239" s="40">
        <v>45324.620046296295</v>
      </c>
    </row>
    <row r="240" spans="1:44" x14ac:dyDescent="0.25">
      <c r="A240">
        <v>1546</v>
      </c>
      <c r="B240" t="s">
        <v>167</v>
      </c>
      <c r="C240" t="s">
        <v>965</v>
      </c>
      <c r="D240" t="s">
        <v>966</v>
      </c>
      <c r="E240" t="s">
        <v>955</v>
      </c>
      <c r="F240" t="s">
        <v>153</v>
      </c>
      <c r="G240" t="s">
        <v>24</v>
      </c>
      <c r="H240" t="s">
        <v>21</v>
      </c>
      <c r="I240" t="s">
        <v>19</v>
      </c>
      <c r="J240" t="s">
        <v>30</v>
      </c>
      <c r="K240" t="s">
        <v>728</v>
      </c>
      <c r="L240" t="s">
        <v>964</v>
      </c>
      <c r="M240" t="s">
        <v>964</v>
      </c>
      <c r="N240">
        <v>2024</v>
      </c>
      <c r="O240" t="s">
        <v>150</v>
      </c>
      <c r="P240" t="s">
        <v>729</v>
      </c>
      <c r="Q240" t="s">
        <v>730</v>
      </c>
      <c r="R240" t="s">
        <v>17</v>
      </c>
      <c r="S240" t="str">
        <f t="shared" si="8"/>
        <v>2024-1546</v>
      </c>
      <c r="AO240" s="40"/>
      <c r="AP240" s="40"/>
      <c r="AQ240" s="41">
        <v>46057</v>
      </c>
      <c r="AR240" s="40">
        <v>45324.62222222222</v>
      </c>
    </row>
    <row r="241" spans="1:44" x14ac:dyDescent="0.25">
      <c r="A241">
        <v>1547</v>
      </c>
      <c r="B241" t="s">
        <v>167</v>
      </c>
      <c r="C241" t="s">
        <v>967</v>
      </c>
      <c r="D241" t="s">
        <v>968</v>
      </c>
      <c r="E241" t="s">
        <v>955</v>
      </c>
      <c r="F241" t="s">
        <v>153</v>
      </c>
      <c r="G241" t="s">
        <v>24</v>
      </c>
      <c r="H241" t="s">
        <v>729</v>
      </c>
      <c r="I241" t="s">
        <v>16</v>
      </c>
      <c r="J241" t="s">
        <v>20</v>
      </c>
      <c r="K241" t="s">
        <v>18</v>
      </c>
      <c r="L241" t="s">
        <v>187</v>
      </c>
      <c r="M241" t="s">
        <v>969</v>
      </c>
      <c r="N241">
        <v>2026</v>
      </c>
      <c r="O241" t="s">
        <v>150</v>
      </c>
      <c r="P241">
        <v>20</v>
      </c>
      <c r="Q241" t="s">
        <v>730</v>
      </c>
      <c r="R241" t="s">
        <v>17</v>
      </c>
      <c r="S241" t="str">
        <f t="shared" si="8"/>
        <v>2026-1547</v>
      </c>
      <c r="AO241" s="40"/>
      <c r="AP241" s="40"/>
      <c r="AQ241" s="41">
        <v>46057</v>
      </c>
      <c r="AR241" s="40">
        <v>45324.623564814814</v>
      </c>
    </row>
    <row r="242" spans="1:44" x14ac:dyDescent="0.25">
      <c r="A242">
        <v>1548</v>
      </c>
      <c r="B242" t="s">
        <v>87</v>
      </c>
      <c r="C242" t="s">
        <v>973</v>
      </c>
      <c r="D242" t="s">
        <v>974</v>
      </c>
      <c r="E242" t="s">
        <v>539</v>
      </c>
      <c r="F242" t="s">
        <v>539</v>
      </c>
      <c r="G242" t="s">
        <v>24</v>
      </c>
      <c r="H242" t="s">
        <v>729</v>
      </c>
      <c r="I242" t="s">
        <v>19</v>
      </c>
      <c r="J242" t="s">
        <v>20</v>
      </c>
      <c r="K242" t="s">
        <v>728</v>
      </c>
      <c r="L242" t="s">
        <v>577</v>
      </c>
      <c r="M242" t="s">
        <v>577</v>
      </c>
      <c r="N242">
        <v>2025</v>
      </c>
      <c r="O242" t="s">
        <v>150</v>
      </c>
      <c r="P242" t="s">
        <v>729</v>
      </c>
      <c r="Q242" t="s">
        <v>917</v>
      </c>
      <c r="R242" t="s">
        <v>17</v>
      </c>
      <c r="S242" t="str">
        <f t="shared" si="8"/>
        <v>2025-1548</v>
      </c>
      <c r="AO242" s="40"/>
      <c r="AP242" s="40"/>
      <c r="AQ242" s="41">
        <v>46057</v>
      </c>
      <c r="AR242" s="40">
        <v>45324.68167824074</v>
      </c>
    </row>
    <row r="243" spans="1:44" x14ac:dyDescent="0.25">
      <c r="A243">
        <v>1549</v>
      </c>
      <c r="B243" t="s">
        <v>87</v>
      </c>
      <c r="C243" t="s">
        <v>975</v>
      </c>
      <c r="D243" t="s">
        <v>976</v>
      </c>
      <c r="E243" t="s">
        <v>539</v>
      </c>
      <c r="F243" t="s">
        <v>153</v>
      </c>
      <c r="G243" t="s">
        <v>24</v>
      </c>
      <c r="H243" t="s">
        <v>21</v>
      </c>
      <c r="I243" t="s">
        <v>16</v>
      </c>
      <c r="J243" t="s">
        <v>20</v>
      </c>
      <c r="K243" t="s">
        <v>18</v>
      </c>
      <c r="L243" t="s">
        <v>581</v>
      </c>
      <c r="M243" t="s">
        <v>578</v>
      </c>
      <c r="N243">
        <v>2027</v>
      </c>
      <c r="O243" t="s">
        <v>150</v>
      </c>
      <c r="P243">
        <v>2</v>
      </c>
      <c r="Q243" t="s">
        <v>917</v>
      </c>
      <c r="R243" t="s">
        <v>17</v>
      </c>
      <c r="S243" t="str">
        <f t="shared" si="8"/>
        <v>2027-1549</v>
      </c>
      <c r="AO243" s="40"/>
      <c r="AP243" s="40"/>
      <c r="AQ243" s="41">
        <v>46057</v>
      </c>
      <c r="AR243" s="40">
        <v>45324.683576388888</v>
      </c>
    </row>
    <row r="244" spans="1:44" x14ac:dyDescent="0.25">
      <c r="A244">
        <v>1550</v>
      </c>
      <c r="B244" t="s">
        <v>87</v>
      </c>
      <c r="C244" t="s">
        <v>977</v>
      </c>
      <c r="D244" t="s">
        <v>978</v>
      </c>
      <c r="E244" t="s">
        <v>375</v>
      </c>
      <c r="F244" t="s">
        <v>375</v>
      </c>
      <c r="G244" t="s">
        <v>24</v>
      </c>
      <c r="H244" t="s">
        <v>21</v>
      </c>
      <c r="I244" t="s">
        <v>16</v>
      </c>
      <c r="J244" t="s">
        <v>30</v>
      </c>
      <c r="K244" t="s">
        <v>33</v>
      </c>
      <c r="L244" t="s">
        <v>577</v>
      </c>
      <c r="M244" t="s">
        <v>979</v>
      </c>
      <c r="N244">
        <v>2029</v>
      </c>
      <c r="O244" t="s">
        <v>150</v>
      </c>
      <c r="P244">
        <v>15</v>
      </c>
      <c r="Q244" t="s">
        <v>730</v>
      </c>
      <c r="R244" t="s">
        <v>17</v>
      </c>
      <c r="S244" t="str">
        <f t="shared" si="8"/>
        <v>2029-1550</v>
      </c>
      <c r="AO244" s="40">
        <v>45324.692673611113</v>
      </c>
      <c r="AP244" s="40"/>
      <c r="AQ244" s="41">
        <v>45330</v>
      </c>
      <c r="AR244" s="40">
        <v>45324.692673611113</v>
      </c>
    </row>
    <row r="245" spans="1:44" x14ac:dyDescent="0.25">
      <c r="A245">
        <v>1551</v>
      </c>
      <c r="B245" t="s">
        <v>36</v>
      </c>
      <c r="C245" t="s">
        <v>987</v>
      </c>
      <c r="D245" t="s">
        <v>988</v>
      </c>
      <c r="E245" t="s">
        <v>989</v>
      </c>
      <c r="F245" t="s">
        <v>679</v>
      </c>
      <c r="G245" t="s">
        <v>24</v>
      </c>
      <c r="H245" t="s">
        <v>21</v>
      </c>
      <c r="I245" t="s">
        <v>16</v>
      </c>
      <c r="J245" t="s">
        <v>30</v>
      </c>
      <c r="K245" t="s">
        <v>728</v>
      </c>
      <c r="L245" t="s">
        <v>990</v>
      </c>
      <c r="M245" t="s">
        <v>991</v>
      </c>
      <c r="N245">
        <v>2024</v>
      </c>
      <c r="O245" t="s">
        <v>133</v>
      </c>
      <c r="P245">
        <v>1</v>
      </c>
      <c r="Q245" t="s">
        <v>727</v>
      </c>
      <c r="R245" t="s">
        <v>17</v>
      </c>
      <c r="S245" t="str">
        <f t="shared" si="8"/>
        <v>2024-1551</v>
      </c>
      <c r="AO245" s="40"/>
      <c r="AP245" s="40"/>
      <c r="AQ245" s="41">
        <v>46057</v>
      </c>
      <c r="AR245" s="40">
        <v>45321.413738425923</v>
      </c>
    </row>
    <row r="246" spans="1:44" x14ac:dyDescent="0.25">
      <c r="A246">
        <v>1552</v>
      </c>
      <c r="B246" t="s">
        <v>36</v>
      </c>
      <c r="C246" t="s">
        <v>992</v>
      </c>
      <c r="D246" t="s">
        <v>993</v>
      </c>
      <c r="E246" t="s">
        <v>994</v>
      </c>
      <c r="F246" t="s">
        <v>679</v>
      </c>
      <c r="G246" t="s">
        <v>24</v>
      </c>
      <c r="H246" t="s">
        <v>995</v>
      </c>
      <c r="I246" t="s">
        <v>16</v>
      </c>
      <c r="J246" t="s">
        <v>25</v>
      </c>
      <c r="K246" t="s">
        <v>728</v>
      </c>
      <c r="L246" t="s">
        <v>996</v>
      </c>
      <c r="M246" t="s">
        <v>997</v>
      </c>
      <c r="N246">
        <v>2024</v>
      </c>
      <c r="O246" t="s">
        <v>133</v>
      </c>
      <c r="P246">
        <v>1</v>
      </c>
      <c r="Q246" t="s">
        <v>727</v>
      </c>
      <c r="R246" t="s">
        <v>17</v>
      </c>
      <c r="S246" t="str">
        <f t="shared" si="8"/>
        <v>2024-1552</v>
      </c>
      <c r="AO246" s="40"/>
      <c r="AP246" s="40"/>
      <c r="AQ246" s="41">
        <v>46057</v>
      </c>
      <c r="AR246" s="40">
        <v>45321.413576388892</v>
      </c>
    </row>
    <row r="247" spans="1:44" x14ac:dyDescent="0.25">
      <c r="A247">
        <v>1553</v>
      </c>
      <c r="B247" t="s">
        <v>36</v>
      </c>
      <c r="C247" t="s">
        <v>998</v>
      </c>
      <c r="D247" t="s">
        <v>999</v>
      </c>
      <c r="E247" t="s">
        <v>1000</v>
      </c>
      <c r="F247" t="s">
        <v>153</v>
      </c>
      <c r="G247" t="s">
        <v>24</v>
      </c>
      <c r="H247" t="s">
        <v>21</v>
      </c>
      <c r="I247" t="s">
        <v>19</v>
      </c>
      <c r="J247" t="s">
        <v>30</v>
      </c>
      <c r="K247" t="s">
        <v>728</v>
      </c>
      <c r="L247" t="s">
        <v>1001</v>
      </c>
      <c r="M247" t="s">
        <v>1002</v>
      </c>
      <c r="N247">
        <v>2025</v>
      </c>
      <c r="O247" t="s">
        <v>133</v>
      </c>
      <c r="P247" t="s">
        <v>21</v>
      </c>
      <c r="Q247" t="s">
        <v>727</v>
      </c>
      <c r="R247" t="s">
        <v>17</v>
      </c>
      <c r="S247" t="str">
        <f t="shared" si="8"/>
        <v>2025-1553</v>
      </c>
      <c r="AO247" s="40"/>
      <c r="AP247" s="40"/>
      <c r="AQ247" s="41">
        <v>46057</v>
      </c>
      <c r="AR247" s="40">
        <v>45321.420173611114</v>
      </c>
    </row>
    <row r="248" spans="1:44" x14ac:dyDescent="0.25">
      <c r="A248">
        <v>1554</v>
      </c>
      <c r="B248" t="s">
        <v>36</v>
      </c>
      <c r="C248" t="s">
        <v>1003</v>
      </c>
      <c r="D248" t="s">
        <v>1004</v>
      </c>
      <c r="E248" t="s">
        <v>1005</v>
      </c>
      <c r="F248" t="s">
        <v>679</v>
      </c>
      <c r="G248" t="s">
        <v>24</v>
      </c>
      <c r="H248" t="s">
        <v>21</v>
      </c>
      <c r="I248" t="s">
        <v>16</v>
      </c>
      <c r="J248" t="s">
        <v>25</v>
      </c>
      <c r="K248" t="s">
        <v>18</v>
      </c>
      <c r="L248" t="s">
        <v>1006</v>
      </c>
      <c r="M248" t="s">
        <v>1007</v>
      </c>
      <c r="N248">
        <v>2026</v>
      </c>
      <c r="O248" t="s">
        <v>133</v>
      </c>
      <c r="P248">
        <v>1</v>
      </c>
      <c r="Q248" t="s">
        <v>727</v>
      </c>
      <c r="R248" t="s">
        <v>17</v>
      </c>
      <c r="S248" t="str">
        <f t="shared" si="8"/>
        <v>2026-1554</v>
      </c>
      <c r="AO248" s="40">
        <v>45321.426666666666</v>
      </c>
      <c r="AP248" s="40"/>
      <c r="AQ248" s="41">
        <v>45334</v>
      </c>
      <c r="AR248" s="40">
        <v>45321.426666666666</v>
      </c>
    </row>
    <row r="249" spans="1:44" x14ac:dyDescent="0.25">
      <c r="A249">
        <v>1555</v>
      </c>
      <c r="B249" t="s">
        <v>36</v>
      </c>
      <c r="C249" t="s">
        <v>1008</v>
      </c>
      <c r="D249" t="s">
        <v>1009</v>
      </c>
      <c r="E249" t="s">
        <v>1010</v>
      </c>
      <c r="F249" t="s">
        <v>679</v>
      </c>
      <c r="G249" t="s">
        <v>24</v>
      </c>
      <c r="H249" t="s">
        <v>21</v>
      </c>
      <c r="I249" t="s">
        <v>16</v>
      </c>
      <c r="J249" t="s">
        <v>25</v>
      </c>
      <c r="K249" t="s">
        <v>18</v>
      </c>
      <c r="L249" t="s">
        <v>1011</v>
      </c>
      <c r="M249" t="s">
        <v>1012</v>
      </c>
      <c r="N249">
        <v>2026</v>
      </c>
      <c r="O249" t="s">
        <v>133</v>
      </c>
      <c r="P249">
        <v>1</v>
      </c>
      <c r="Q249" t="s">
        <v>727</v>
      </c>
      <c r="R249" t="s">
        <v>17</v>
      </c>
      <c r="S249" t="str">
        <f t="shared" si="8"/>
        <v>2026-1555</v>
      </c>
      <c r="AO249" s="40">
        <v>45321.428888888891</v>
      </c>
      <c r="AP249" s="40"/>
      <c r="AQ249" s="41">
        <v>45334</v>
      </c>
      <c r="AR249" s="40">
        <v>45321.428888888891</v>
      </c>
    </row>
    <row r="250" spans="1:44" x14ac:dyDescent="0.25">
      <c r="A250">
        <v>1556</v>
      </c>
      <c r="B250" t="s">
        <v>36</v>
      </c>
      <c r="C250" t="s">
        <v>1013</v>
      </c>
      <c r="D250" t="s">
        <v>1014</v>
      </c>
      <c r="E250" t="s">
        <v>1015</v>
      </c>
      <c r="F250" t="s">
        <v>679</v>
      </c>
      <c r="G250" t="s">
        <v>24</v>
      </c>
      <c r="H250" t="s">
        <v>21</v>
      </c>
      <c r="I250" t="s">
        <v>16</v>
      </c>
      <c r="J250" t="s">
        <v>27</v>
      </c>
      <c r="K250" t="s">
        <v>728</v>
      </c>
      <c r="L250" t="s">
        <v>1016</v>
      </c>
      <c r="M250" t="s">
        <v>1017</v>
      </c>
      <c r="N250">
        <v>2026</v>
      </c>
      <c r="O250" t="s">
        <v>133</v>
      </c>
      <c r="P250">
        <v>1</v>
      </c>
      <c r="Q250" t="s">
        <v>727</v>
      </c>
      <c r="R250" t="s">
        <v>17</v>
      </c>
      <c r="S250" t="str">
        <f t="shared" si="8"/>
        <v>2026-1556</v>
      </c>
      <c r="AO250" s="40"/>
      <c r="AP250" s="40"/>
      <c r="AQ250" s="41">
        <v>46057</v>
      </c>
      <c r="AR250" s="40">
        <v>45321.430648148147</v>
      </c>
    </row>
    <row r="251" spans="1:44" x14ac:dyDescent="0.25">
      <c r="A251">
        <v>1557</v>
      </c>
      <c r="B251" t="s">
        <v>36</v>
      </c>
      <c r="C251" t="s">
        <v>1018</v>
      </c>
      <c r="D251" t="s">
        <v>1019</v>
      </c>
      <c r="E251" t="s">
        <v>1020</v>
      </c>
      <c r="F251" t="s">
        <v>153</v>
      </c>
      <c r="G251" t="s">
        <v>24</v>
      </c>
      <c r="H251" t="s">
        <v>21</v>
      </c>
      <c r="I251" t="s">
        <v>16</v>
      </c>
      <c r="J251" t="s">
        <v>30</v>
      </c>
      <c r="K251" t="s">
        <v>18</v>
      </c>
      <c r="L251" t="s">
        <v>1021</v>
      </c>
      <c r="M251" t="s">
        <v>1022</v>
      </c>
      <c r="N251">
        <v>2027</v>
      </c>
      <c r="O251" t="s">
        <v>133</v>
      </c>
      <c r="P251">
        <v>17</v>
      </c>
      <c r="Q251" t="s">
        <v>727</v>
      </c>
      <c r="R251" t="s">
        <v>17</v>
      </c>
      <c r="S251" t="str">
        <f t="shared" si="8"/>
        <v>2027-1557</v>
      </c>
      <c r="AO251" s="40">
        <v>45321.432083333333</v>
      </c>
      <c r="AP251" s="40"/>
      <c r="AQ251" s="41">
        <v>45334</v>
      </c>
      <c r="AR251" s="40">
        <v>45321.432083333333</v>
      </c>
    </row>
    <row r="252" spans="1:44" x14ac:dyDescent="0.25">
      <c r="A252">
        <v>1558</v>
      </c>
      <c r="B252" t="s">
        <v>36</v>
      </c>
      <c r="C252" t="s">
        <v>1023</v>
      </c>
      <c r="D252" t="s">
        <v>1024</v>
      </c>
      <c r="E252" t="s">
        <v>1025</v>
      </c>
      <c r="F252" t="s">
        <v>153</v>
      </c>
      <c r="G252" t="s">
        <v>24</v>
      </c>
      <c r="H252" t="s">
        <v>21</v>
      </c>
      <c r="I252" t="s">
        <v>16</v>
      </c>
      <c r="J252" t="s">
        <v>30</v>
      </c>
      <c r="K252" t="s">
        <v>18</v>
      </c>
      <c r="L252" t="s">
        <v>1026</v>
      </c>
      <c r="M252" t="s">
        <v>1027</v>
      </c>
      <c r="N252">
        <v>2028</v>
      </c>
      <c r="O252" t="s">
        <v>133</v>
      </c>
      <c r="P252">
        <v>4</v>
      </c>
      <c r="Q252" t="s">
        <v>727</v>
      </c>
      <c r="R252" t="s">
        <v>17</v>
      </c>
      <c r="S252" t="str">
        <f t="shared" si="8"/>
        <v>2028-1558</v>
      </c>
      <c r="AO252" s="40">
        <v>45321.439837962964</v>
      </c>
      <c r="AP252" s="40"/>
      <c r="AQ252" s="41">
        <v>45334</v>
      </c>
      <c r="AR252" s="40">
        <v>45321.439837962964</v>
      </c>
    </row>
    <row r="253" spans="1:44" x14ac:dyDescent="0.25">
      <c r="A253">
        <v>1559</v>
      </c>
      <c r="B253" t="s">
        <v>36</v>
      </c>
      <c r="C253" t="s">
        <v>1028</v>
      </c>
      <c r="D253" t="s">
        <v>1029</v>
      </c>
      <c r="E253" t="s">
        <v>1030</v>
      </c>
      <c r="F253" t="s">
        <v>153</v>
      </c>
      <c r="G253" t="s">
        <v>24</v>
      </c>
      <c r="H253" t="s">
        <v>21</v>
      </c>
      <c r="I253" t="s">
        <v>16</v>
      </c>
      <c r="J253" t="s">
        <v>30</v>
      </c>
      <c r="K253" t="s">
        <v>18</v>
      </c>
      <c r="L253" t="s">
        <v>1031</v>
      </c>
      <c r="M253" t="s">
        <v>1032</v>
      </c>
      <c r="N253">
        <v>2030</v>
      </c>
      <c r="O253" t="s">
        <v>133</v>
      </c>
      <c r="P253">
        <v>40</v>
      </c>
      <c r="Q253" t="s">
        <v>727</v>
      </c>
      <c r="R253" t="s">
        <v>17</v>
      </c>
      <c r="S253" t="str">
        <f t="shared" si="8"/>
        <v>2030-1559</v>
      </c>
      <c r="AO253" s="40"/>
      <c r="AP253" s="40"/>
      <c r="AQ253" s="41">
        <v>46057</v>
      </c>
      <c r="AR253" s="40">
        <v>45321.442488425928</v>
      </c>
    </row>
    <row r="254" spans="1:44" x14ac:dyDescent="0.25">
      <c r="A254">
        <v>1560</v>
      </c>
      <c r="B254" t="s">
        <v>36</v>
      </c>
      <c r="C254" t="s">
        <v>1033</v>
      </c>
      <c r="D254" t="s">
        <v>1034</v>
      </c>
      <c r="E254" t="s">
        <v>1035</v>
      </c>
      <c r="F254" t="s">
        <v>153</v>
      </c>
      <c r="G254" t="s">
        <v>24</v>
      </c>
      <c r="H254" t="s">
        <v>21</v>
      </c>
      <c r="I254" t="s">
        <v>16</v>
      </c>
      <c r="J254" t="s">
        <v>30</v>
      </c>
      <c r="K254" t="s">
        <v>18</v>
      </c>
      <c r="L254" t="s">
        <v>1036</v>
      </c>
      <c r="M254" t="s">
        <v>1037</v>
      </c>
      <c r="N254">
        <v>2030</v>
      </c>
      <c r="O254" t="s">
        <v>133</v>
      </c>
      <c r="P254">
        <v>100</v>
      </c>
      <c r="Q254" t="s">
        <v>727</v>
      </c>
      <c r="R254" t="s">
        <v>17</v>
      </c>
      <c r="S254" t="str">
        <f t="shared" si="8"/>
        <v>2030-1560</v>
      </c>
      <c r="AO254" s="40"/>
      <c r="AP254" s="40"/>
      <c r="AQ254" s="41">
        <v>46057</v>
      </c>
      <c r="AR254" s="40">
        <v>45321.443935185183</v>
      </c>
    </row>
    <row r="255" spans="1:44" x14ac:dyDescent="0.25">
      <c r="A255">
        <v>1561</v>
      </c>
      <c r="B255" t="s">
        <v>36</v>
      </c>
      <c r="C255" t="s">
        <v>1038</v>
      </c>
      <c r="D255" t="s">
        <v>1039</v>
      </c>
      <c r="E255" t="s">
        <v>1040</v>
      </c>
      <c r="F255" t="s">
        <v>153</v>
      </c>
      <c r="G255" t="s">
        <v>24</v>
      </c>
      <c r="H255" t="s">
        <v>21</v>
      </c>
      <c r="I255" t="s">
        <v>16</v>
      </c>
      <c r="J255" t="s">
        <v>30</v>
      </c>
      <c r="K255" t="s">
        <v>18</v>
      </c>
      <c r="L255" t="s">
        <v>1041</v>
      </c>
      <c r="M255" t="s">
        <v>1042</v>
      </c>
      <c r="N255">
        <v>2030</v>
      </c>
      <c r="O255" t="s">
        <v>133</v>
      </c>
      <c r="P255">
        <v>1</v>
      </c>
      <c r="Q255" t="s">
        <v>727</v>
      </c>
      <c r="R255" t="s">
        <v>17</v>
      </c>
      <c r="S255" t="str">
        <f t="shared" si="8"/>
        <v>2030-1561</v>
      </c>
      <c r="AO255" s="40"/>
      <c r="AP255" s="40"/>
      <c r="AQ255" s="41">
        <v>46057</v>
      </c>
      <c r="AR255" s="40">
        <v>45321.448182870372</v>
      </c>
    </row>
    <row r="256" spans="1:44" x14ac:dyDescent="0.25">
      <c r="A256">
        <v>1562</v>
      </c>
      <c r="B256" t="s">
        <v>36</v>
      </c>
      <c r="C256" t="s">
        <v>1043</v>
      </c>
      <c r="D256" t="s">
        <v>1044</v>
      </c>
      <c r="E256" t="s">
        <v>1040</v>
      </c>
      <c r="F256" t="s">
        <v>153</v>
      </c>
      <c r="G256" t="s">
        <v>24</v>
      </c>
      <c r="H256" t="s">
        <v>21</v>
      </c>
      <c r="I256" t="s">
        <v>16</v>
      </c>
      <c r="J256" t="s">
        <v>30</v>
      </c>
      <c r="K256" t="s">
        <v>18</v>
      </c>
      <c r="L256" t="s">
        <v>1042</v>
      </c>
      <c r="M256" t="s">
        <v>1045</v>
      </c>
      <c r="N256">
        <v>2030</v>
      </c>
      <c r="O256" t="s">
        <v>133</v>
      </c>
      <c r="P256">
        <v>6</v>
      </c>
      <c r="Q256" t="s">
        <v>727</v>
      </c>
      <c r="R256" t="s">
        <v>17</v>
      </c>
      <c r="S256" t="str">
        <f t="shared" si="8"/>
        <v>2030-1562</v>
      </c>
      <c r="AO256" s="40"/>
      <c r="AP256" s="40"/>
      <c r="AQ256" s="41">
        <v>46057</v>
      </c>
      <c r="AR256" s="40">
        <v>45321.449618055558</v>
      </c>
    </row>
    <row r="257" spans="1:44" x14ac:dyDescent="0.25">
      <c r="A257">
        <v>1563</v>
      </c>
      <c r="B257" t="s">
        <v>36</v>
      </c>
      <c r="C257" t="s">
        <v>1046</v>
      </c>
      <c r="D257" t="s">
        <v>1047</v>
      </c>
      <c r="E257" t="s">
        <v>1048</v>
      </c>
      <c r="F257" t="s">
        <v>153</v>
      </c>
      <c r="G257" t="s">
        <v>24</v>
      </c>
      <c r="H257" t="s">
        <v>21</v>
      </c>
      <c r="I257" t="s">
        <v>16</v>
      </c>
      <c r="J257" t="s">
        <v>27</v>
      </c>
      <c r="K257" t="s">
        <v>18</v>
      </c>
      <c r="L257" t="s">
        <v>1049</v>
      </c>
      <c r="M257" t="s">
        <v>1036</v>
      </c>
      <c r="N257">
        <v>2038</v>
      </c>
      <c r="O257" t="s">
        <v>133</v>
      </c>
      <c r="P257">
        <v>578</v>
      </c>
      <c r="Q257" t="s">
        <v>585</v>
      </c>
      <c r="R257" t="s">
        <v>17</v>
      </c>
      <c r="S257" t="str">
        <f t="shared" si="8"/>
        <v>2038-1563</v>
      </c>
      <c r="AO257" s="40"/>
      <c r="AP257" s="40"/>
      <c r="AQ257" s="41">
        <v>46057</v>
      </c>
      <c r="AR257" s="40">
        <v>45321.452210648145</v>
      </c>
    </row>
    <row r="258" spans="1:44" x14ac:dyDescent="0.25">
      <c r="A258">
        <v>1564</v>
      </c>
      <c r="B258" t="s">
        <v>36</v>
      </c>
      <c r="C258" t="s">
        <v>1050</v>
      </c>
      <c r="D258" t="s">
        <v>1051</v>
      </c>
      <c r="E258" t="s">
        <v>1052</v>
      </c>
      <c r="F258" t="s">
        <v>153</v>
      </c>
      <c r="G258" t="s">
        <v>24</v>
      </c>
      <c r="H258" t="s">
        <v>21</v>
      </c>
      <c r="I258" t="s">
        <v>16</v>
      </c>
      <c r="J258" t="s">
        <v>30</v>
      </c>
      <c r="K258" t="s">
        <v>33</v>
      </c>
      <c r="L258" t="s">
        <v>1053</v>
      </c>
      <c r="M258" t="s">
        <v>1054</v>
      </c>
      <c r="N258" t="s">
        <v>22</v>
      </c>
      <c r="O258" t="s">
        <v>133</v>
      </c>
      <c r="P258">
        <v>16</v>
      </c>
      <c r="Q258" t="s">
        <v>727</v>
      </c>
      <c r="R258" t="s">
        <v>17</v>
      </c>
      <c r="S258" t="str">
        <f t="shared" si="8"/>
        <v>TBD-1564</v>
      </c>
      <c r="AO258" s="40">
        <v>45321.457939814813</v>
      </c>
      <c r="AP258" s="40"/>
      <c r="AQ258" s="41">
        <v>45334</v>
      </c>
      <c r="AR258" s="40">
        <v>45321.457939814813</v>
      </c>
    </row>
    <row r="259" spans="1:44" x14ac:dyDescent="0.25">
      <c r="A259">
        <v>1565</v>
      </c>
      <c r="B259" t="s">
        <v>36</v>
      </c>
      <c r="C259" t="s">
        <v>1055</v>
      </c>
      <c r="D259" t="s">
        <v>1056</v>
      </c>
      <c r="E259" t="s">
        <v>1057</v>
      </c>
      <c r="F259" t="s">
        <v>153</v>
      </c>
      <c r="G259" t="s">
        <v>24</v>
      </c>
      <c r="H259" t="s">
        <v>21</v>
      </c>
      <c r="I259" t="s">
        <v>16</v>
      </c>
      <c r="J259" t="s">
        <v>30</v>
      </c>
      <c r="K259" t="s">
        <v>33</v>
      </c>
      <c r="L259" t="s">
        <v>335</v>
      </c>
      <c r="M259" t="s">
        <v>1054</v>
      </c>
      <c r="N259" t="s">
        <v>22</v>
      </c>
      <c r="O259" t="s">
        <v>133</v>
      </c>
      <c r="P259">
        <v>9</v>
      </c>
      <c r="Q259" t="s">
        <v>727</v>
      </c>
      <c r="R259" t="s">
        <v>17</v>
      </c>
      <c r="S259" t="str">
        <f t="shared" si="8"/>
        <v>TBD-1565</v>
      </c>
      <c r="AO259" s="40">
        <v>45321.459837962961</v>
      </c>
      <c r="AP259" s="40"/>
      <c r="AQ259" s="41">
        <v>45334</v>
      </c>
      <c r="AR259" s="40">
        <v>45321.459837962961</v>
      </c>
    </row>
    <row r="260" spans="1:44" x14ac:dyDescent="0.25">
      <c r="A260">
        <v>1566</v>
      </c>
      <c r="B260" t="s">
        <v>36</v>
      </c>
      <c r="C260" t="s">
        <v>1058</v>
      </c>
      <c r="D260" t="s">
        <v>1059</v>
      </c>
      <c r="E260" t="s">
        <v>1060</v>
      </c>
      <c r="F260" t="s">
        <v>153</v>
      </c>
      <c r="G260" t="s">
        <v>24</v>
      </c>
      <c r="H260" t="s">
        <v>21</v>
      </c>
      <c r="I260" t="s">
        <v>16</v>
      </c>
      <c r="J260" t="s">
        <v>25</v>
      </c>
      <c r="K260" t="s">
        <v>33</v>
      </c>
      <c r="L260" t="s">
        <v>1061</v>
      </c>
      <c r="M260" t="s">
        <v>1062</v>
      </c>
      <c r="N260" t="s">
        <v>22</v>
      </c>
      <c r="O260" t="s">
        <v>133</v>
      </c>
      <c r="P260">
        <v>80</v>
      </c>
      <c r="Q260" t="s">
        <v>727</v>
      </c>
      <c r="R260" t="s">
        <v>17</v>
      </c>
      <c r="S260" t="str">
        <f t="shared" si="8"/>
        <v>TBD-1566</v>
      </c>
      <c r="AO260" s="40">
        <v>45321.470486111109</v>
      </c>
      <c r="AP260" s="40"/>
      <c r="AQ260" s="41">
        <v>45334</v>
      </c>
      <c r="AR260" s="40">
        <v>45321.470486111109</v>
      </c>
    </row>
    <row r="261" spans="1:44" x14ac:dyDescent="0.25">
      <c r="A261">
        <v>1567</v>
      </c>
      <c r="B261" t="s">
        <v>36</v>
      </c>
      <c r="C261" t="s">
        <v>1063</v>
      </c>
      <c r="D261" t="s">
        <v>1064</v>
      </c>
      <c r="E261" t="s">
        <v>1065</v>
      </c>
      <c r="F261" t="s">
        <v>153</v>
      </c>
      <c r="G261" t="s">
        <v>24</v>
      </c>
      <c r="H261" t="s">
        <v>21</v>
      </c>
      <c r="I261" t="s">
        <v>16</v>
      </c>
      <c r="J261" t="s">
        <v>25</v>
      </c>
      <c r="K261" t="s">
        <v>33</v>
      </c>
      <c r="L261" t="s">
        <v>1062</v>
      </c>
      <c r="M261" t="s">
        <v>1066</v>
      </c>
      <c r="N261" t="s">
        <v>22</v>
      </c>
      <c r="O261" t="s">
        <v>133</v>
      </c>
      <c r="P261">
        <v>40</v>
      </c>
      <c r="Q261" t="s">
        <v>585</v>
      </c>
      <c r="R261" t="s">
        <v>17</v>
      </c>
      <c r="S261" t="str">
        <f t="shared" si="8"/>
        <v>TBD-1567</v>
      </c>
      <c r="AO261" s="40">
        <v>45321.472222222219</v>
      </c>
      <c r="AP261" s="40"/>
      <c r="AQ261" s="41">
        <v>45334</v>
      </c>
      <c r="AR261" s="40">
        <v>45321.472222222219</v>
      </c>
    </row>
    <row r="262" spans="1:44" x14ac:dyDescent="0.25">
      <c r="A262">
        <v>1568</v>
      </c>
      <c r="B262" t="s">
        <v>36</v>
      </c>
      <c r="C262" t="s">
        <v>1067</v>
      </c>
      <c r="D262" t="s">
        <v>1068</v>
      </c>
      <c r="E262" t="s">
        <v>1069</v>
      </c>
      <c r="F262" t="s">
        <v>153</v>
      </c>
      <c r="G262" t="s">
        <v>24</v>
      </c>
      <c r="H262" t="s">
        <v>21</v>
      </c>
      <c r="I262" t="s">
        <v>16</v>
      </c>
      <c r="J262" t="s">
        <v>30</v>
      </c>
      <c r="K262" t="s">
        <v>33</v>
      </c>
      <c r="L262" t="s">
        <v>332</v>
      </c>
      <c r="M262" t="s">
        <v>1070</v>
      </c>
      <c r="N262" t="s">
        <v>22</v>
      </c>
      <c r="O262" t="s">
        <v>133</v>
      </c>
      <c r="P262">
        <v>19</v>
      </c>
      <c r="Q262" t="s">
        <v>727</v>
      </c>
      <c r="R262" t="s">
        <v>17</v>
      </c>
      <c r="S262" t="str">
        <f t="shared" si="8"/>
        <v>TBD-1568</v>
      </c>
      <c r="AO262" s="40">
        <v>45321.474710648145</v>
      </c>
      <c r="AP262" s="40"/>
      <c r="AQ262" s="41">
        <v>45334</v>
      </c>
      <c r="AR262" s="40">
        <v>45321.474710648145</v>
      </c>
    </row>
    <row r="263" spans="1:44" x14ac:dyDescent="0.25">
      <c r="A263">
        <v>1569</v>
      </c>
      <c r="B263" t="s">
        <v>36</v>
      </c>
      <c r="C263" t="s">
        <v>1071</v>
      </c>
      <c r="D263" t="s">
        <v>1072</v>
      </c>
      <c r="E263" t="s">
        <v>1073</v>
      </c>
      <c r="F263" t="s">
        <v>984</v>
      </c>
      <c r="G263" t="s">
        <v>24</v>
      </c>
      <c r="H263" t="s">
        <v>21</v>
      </c>
      <c r="I263" t="s">
        <v>19</v>
      </c>
      <c r="J263" t="s">
        <v>30</v>
      </c>
      <c r="K263" t="s">
        <v>33</v>
      </c>
      <c r="L263" t="s">
        <v>1074</v>
      </c>
      <c r="M263" t="s">
        <v>1075</v>
      </c>
      <c r="N263" t="s">
        <v>22</v>
      </c>
      <c r="O263" t="s">
        <v>133</v>
      </c>
      <c r="P263" t="s">
        <v>21</v>
      </c>
      <c r="Q263" t="s">
        <v>727</v>
      </c>
      <c r="R263" t="s">
        <v>17</v>
      </c>
      <c r="S263" t="str">
        <f t="shared" si="8"/>
        <v>TBD-1569</v>
      </c>
      <c r="AO263" s="40">
        <v>45321.477870370371</v>
      </c>
      <c r="AP263" s="40"/>
      <c r="AQ263" s="41">
        <v>45334</v>
      </c>
      <c r="AR263" s="40">
        <v>45321.477870370371</v>
      </c>
    </row>
    <row r="264" spans="1:44" x14ac:dyDescent="0.25">
      <c r="A264">
        <v>1572</v>
      </c>
      <c r="B264" t="s">
        <v>167</v>
      </c>
      <c r="C264" t="s">
        <v>1261</v>
      </c>
      <c r="D264" t="s">
        <v>1262</v>
      </c>
      <c r="E264" t="s">
        <v>153</v>
      </c>
      <c r="F264" t="s">
        <v>1263</v>
      </c>
      <c r="G264" t="s">
        <v>24</v>
      </c>
      <c r="H264" t="s">
        <v>21</v>
      </c>
      <c r="I264" t="s">
        <v>16</v>
      </c>
      <c r="J264" t="s">
        <v>20</v>
      </c>
      <c r="K264" t="s">
        <v>728</v>
      </c>
      <c r="L264" t="s">
        <v>1264</v>
      </c>
      <c r="M264" t="s">
        <v>1265</v>
      </c>
      <c r="N264">
        <v>2025</v>
      </c>
      <c r="O264" t="s">
        <v>150</v>
      </c>
      <c r="P264" t="s">
        <v>729</v>
      </c>
      <c r="Q264" t="s">
        <v>730</v>
      </c>
      <c r="R264" t="s">
        <v>17</v>
      </c>
      <c r="S264" t="str">
        <f t="shared" si="8"/>
        <v>2025-1572</v>
      </c>
      <c r="AP264">
        <v>46027.465543981481</v>
      </c>
      <c r="AR264">
        <v>46027.465543981481</v>
      </c>
    </row>
    <row r="265" spans="1:44" x14ac:dyDescent="0.25">
      <c r="A265">
        <v>1573</v>
      </c>
      <c r="B265" t="s">
        <v>167</v>
      </c>
      <c r="C265" t="s">
        <v>1266</v>
      </c>
      <c r="D265" t="s">
        <v>1267</v>
      </c>
      <c r="E265" t="s">
        <v>1268</v>
      </c>
      <c r="F265" t="s">
        <v>955</v>
      </c>
      <c r="G265" t="s">
        <v>24</v>
      </c>
      <c r="H265" t="s">
        <v>729</v>
      </c>
      <c r="I265" t="s">
        <v>19</v>
      </c>
      <c r="J265" t="s">
        <v>20</v>
      </c>
      <c r="K265" t="s">
        <v>18</v>
      </c>
      <c r="L265" t="s">
        <v>1265</v>
      </c>
      <c r="M265" t="s">
        <v>1265</v>
      </c>
      <c r="N265">
        <v>2028</v>
      </c>
      <c r="O265" t="s">
        <v>150</v>
      </c>
      <c r="P265" t="s">
        <v>729</v>
      </c>
      <c r="Q265" t="s">
        <v>730</v>
      </c>
      <c r="R265" t="s">
        <v>17</v>
      </c>
      <c r="S265" t="str">
        <f t="shared" si="8"/>
        <v>2028-1573</v>
      </c>
      <c r="AP265">
        <v>46027.471446759257</v>
      </c>
      <c r="AR265">
        <v>46027.471446759257</v>
      </c>
    </row>
    <row r="266" spans="1:44" x14ac:dyDescent="0.25">
      <c r="A266">
        <v>1574</v>
      </c>
      <c r="B266" t="s">
        <v>167</v>
      </c>
      <c r="C266" t="s">
        <v>1269</v>
      </c>
      <c r="D266" t="s">
        <v>1270</v>
      </c>
      <c r="E266" t="s">
        <v>153</v>
      </c>
      <c r="F266" t="s">
        <v>955</v>
      </c>
      <c r="G266" t="s">
        <v>24</v>
      </c>
      <c r="H266" t="s">
        <v>729</v>
      </c>
      <c r="I266" t="s">
        <v>19</v>
      </c>
      <c r="J266" t="s">
        <v>20</v>
      </c>
      <c r="K266" t="s">
        <v>18</v>
      </c>
      <c r="L266" t="s">
        <v>1271</v>
      </c>
      <c r="M266" t="s">
        <v>1271</v>
      </c>
      <c r="N266">
        <v>2029</v>
      </c>
      <c r="O266" t="s">
        <v>150</v>
      </c>
      <c r="P266" t="s">
        <v>21</v>
      </c>
      <c r="Q266" t="s">
        <v>730</v>
      </c>
      <c r="R266" t="s">
        <v>17</v>
      </c>
      <c r="S266" t="str">
        <f t="shared" si="8"/>
        <v>2029-1574</v>
      </c>
      <c r="AP266">
        <v>46027.475636574076</v>
      </c>
      <c r="AR266">
        <v>46027.475636574076</v>
      </c>
    </row>
    <row r="267" spans="1:44" x14ac:dyDescent="0.25">
      <c r="A267">
        <v>1575</v>
      </c>
      <c r="B267" t="s">
        <v>168</v>
      </c>
      <c r="C267" t="s">
        <v>1272</v>
      </c>
      <c r="D267" t="s">
        <v>1273</v>
      </c>
      <c r="E267" t="s">
        <v>1274</v>
      </c>
      <c r="F267" t="s">
        <v>1274</v>
      </c>
      <c r="G267" t="s">
        <v>24</v>
      </c>
      <c r="H267" t="s">
        <v>729</v>
      </c>
      <c r="I267" t="s">
        <v>23</v>
      </c>
      <c r="J267" t="s">
        <v>30</v>
      </c>
      <c r="K267" t="s">
        <v>18</v>
      </c>
      <c r="L267" t="s">
        <v>1275</v>
      </c>
      <c r="M267" t="s">
        <v>1275</v>
      </c>
      <c r="N267">
        <v>2026</v>
      </c>
      <c r="O267" t="s">
        <v>150</v>
      </c>
      <c r="P267" t="s">
        <v>729</v>
      </c>
      <c r="Q267" t="s">
        <v>970</v>
      </c>
      <c r="R267" t="s">
        <v>17</v>
      </c>
      <c r="S267" t="str">
        <f t="shared" ref="S267:S298" si="9">N267&amp;"-"&amp;A267</f>
        <v>2026-1575</v>
      </c>
      <c r="AP267">
        <v>46027.587210648147</v>
      </c>
      <c r="AR267">
        <v>46027.587210648147</v>
      </c>
    </row>
    <row r="268" spans="1:44" x14ac:dyDescent="0.25">
      <c r="A268">
        <v>1576</v>
      </c>
      <c r="B268" t="s">
        <v>87</v>
      </c>
      <c r="C268" t="s">
        <v>1276</v>
      </c>
      <c r="D268" t="s">
        <v>1277</v>
      </c>
      <c r="E268" t="s">
        <v>1274</v>
      </c>
      <c r="F268" t="s">
        <v>1274</v>
      </c>
      <c r="G268" t="s">
        <v>24</v>
      </c>
      <c r="H268" t="s">
        <v>21</v>
      </c>
      <c r="I268" t="s">
        <v>19</v>
      </c>
      <c r="J268" t="s">
        <v>30</v>
      </c>
      <c r="K268" t="s">
        <v>18</v>
      </c>
      <c r="L268" t="s">
        <v>1278</v>
      </c>
      <c r="M268" t="s">
        <v>729</v>
      </c>
      <c r="N268">
        <v>2027</v>
      </c>
      <c r="O268" t="s">
        <v>150</v>
      </c>
      <c r="P268" t="s">
        <v>729</v>
      </c>
      <c r="Q268" t="s">
        <v>917</v>
      </c>
      <c r="R268" t="s">
        <v>17</v>
      </c>
      <c r="S268" t="str">
        <f t="shared" si="9"/>
        <v>2027-1576</v>
      </c>
      <c r="AP268">
        <v>46027.648113425923</v>
      </c>
      <c r="AR268">
        <v>46027.648113425923</v>
      </c>
    </row>
    <row r="269" spans="1:44" x14ac:dyDescent="0.25">
      <c r="A269">
        <v>1577</v>
      </c>
      <c r="B269" t="s">
        <v>87</v>
      </c>
      <c r="C269" t="s">
        <v>1279</v>
      </c>
      <c r="D269" t="s">
        <v>1280</v>
      </c>
      <c r="E269" t="s">
        <v>1274</v>
      </c>
      <c r="F269" t="s">
        <v>1274</v>
      </c>
      <c r="G269" t="s">
        <v>24</v>
      </c>
      <c r="H269" t="s">
        <v>729</v>
      </c>
      <c r="I269" t="s">
        <v>19</v>
      </c>
      <c r="J269" t="s">
        <v>30</v>
      </c>
      <c r="K269" t="s">
        <v>18</v>
      </c>
      <c r="L269" t="s">
        <v>1281</v>
      </c>
      <c r="M269" t="s">
        <v>729</v>
      </c>
      <c r="N269">
        <v>2028</v>
      </c>
      <c r="O269" t="s">
        <v>150</v>
      </c>
      <c r="P269" t="s">
        <v>729</v>
      </c>
      <c r="Q269" t="s">
        <v>917</v>
      </c>
      <c r="R269" t="s">
        <v>17</v>
      </c>
      <c r="S269" t="str">
        <f t="shared" si="9"/>
        <v>2028-1577</v>
      </c>
      <c r="AP269">
        <v>46027.652060185188</v>
      </c>
      <c r="AR269">
        <v>46027.652060185188</v>
      </c>
    </row>
    <row r="270" spans="1:44" x14ac:dyDescent="0.25">
      <c r="A270">
        <v>1578</v>
      </c>
      <c r="B270" t="s">
        <v>87</v>
      </c>
      <c r="C270" t="s">
        <v>1282</v>
      </c>
      <c r="D270" t="s">
        <v>1283</v>
      </c>
      <c r="E270" t="s">
        <v>1274</v>
      </c>
      <c r="F270" t="s">
        <v>1274</v>
      </c>
      <c r="G270" t="s">
        <v>24</v>
      </c>
      <c r="H270" t="s">
        <v>729</v>
      </c>
      <c r="I270" t="s">
        <v>19</v>
      </c>
      <c r="J270" t="s">
        <v>30</v>
      </c>
      <c r="K270" t="s">
        <v>18</v>
      </c>
      <c r="L270" t="s">
        <v>1281</v>
      </c>
      <c r="M270" t="s">
        <v>729</v>
      </c>
      <c r="N270">
        <v>2028</v>
      </c>
      <c r="O270" t="s">
        <v>150</v>
      </c>
      <c r="P270" t="s">
        <v>729</v>
      </c>
      <c r="Q270" t="s">
        <v>917</v>
      </c>
      <c r="R270" t="s">
        <v>17</v>
      </c>
      <c r="S270" t="str">
        <f t="shared" si="9"/>
        <v>2028-1578</v>
      </c>
      <c r="AP270">
        <v>46027.670127314814</v>
      </c>
      <c r="AR270">
        <v>46027.658449074072</v>
      </c>
    </row>
    <row r="271" spans="1:44" x14ac:dyDescent="0.25">
      <c r="A271">
        <v>1579</v>
      </c>
      <c r="B271" t="s">
        <v>87</v>
      </c>
      <c r="C271" t="s">
        <v>1284</v>
      </c>
      <c r="D271" t="s">
        <v>1285</v>
      </c>
      <c r="E271" t="s">
        <v>1274</v>
      </c>
      <c r="F271" t="s">
        <v>1274</v>
      </c>
      <c r="G271" t="s">
        <v>24</v>
      </c>
      <c r="H271" t="s">
        <v>729</v>
      </c>
      <c r="I271" t="s">
        <v>23</v>
      </c>
      <c r="J271" t="s">
        <v>20</v>
      </c>
      <c r="K271" t="s">
        <v>18</v>
      </c>
      <c r="L271" t="s">
        <v>1286</v>
      </c>
      <c r="M271" t="s">
        <v>729</v>
      </c>
      <c r="N271">
        <v>2028</v>
      </c>
      <c r="O271" t="s">
        <v>150</v>
      </c>
      <c r="P271" t="s">
        <v>729</v>
      </c>
      <c r="Q271" t="s">
        <v>917</v>
      </c>
      <c r="R271" t="s">
        <v>17</v>
      </c>
      <c r="S271" t="str">
        <f t="shared" si="9"/>
        <v>2028-1579</v>
      </c>
      <c r="AP271">
        <v>46027.664594907408</v>
      </c>
      <c r="AR271">
        <v>46027.664594907408</v>
      </c>
    </row>
    <row r="272" spans="1:44" x14ac:dyDescent="0.25">
      <c r="A272">
        <v>1580</v>
      </c>
      <c r="B272" t="s">
        <v>87</v>
      </c>
      <c r="C272" t="s">
        <v>1287</v>
      </c>
      <c r="D272" t="s">
        <v>1288</v>
      </c>
      <c r="E272" t="s">
        <v>1274</v>
      </c>
      <c r="F272" t="s">
        <v>1274</v>
      </c>
      <c r="G272" t="s">
        <v>24</v>
      </c>
      <c r="H272" t="s">
        <v>729</v>
      </c>
      <c r="I272" t="s">
        <v>23</v>
      </c>
      <c r="J272" t="s">
        <v>20</v>
      </c>
      <c r="K272" t="s">
        <v>18</v>
      </c>
      <c r="L272" t="s">
        <v>1289</v>
      </c>
      <c r="M272" t="s">
        <v>729</v>
      </c>
      <c r="N272">
        <v>2028</v>
      </c>
      <c r="O272" t="s">
        <v>150</v>
      </c>
      <c r="P272" t="s">
        <v>729</v>
      </c>
      <c r="Q272" t="s">
        <v>917</v>
      </c>
      <c r="R272" t="s">
        <v>17</v>
      </c>
      <c r="S272" t="str">
        <f t="shared" si="9"/>
        <v>2028-1580</v>
      </c>
      <c r="AP272">
        <v>46027.667326388888</v>
      </c>
      <c r="AR272">
        <v>46027.667326388888</v>
      </c>
    </row>
    <row r="273" spans="1:44" x14ac:dyDescent="0.25">
      <c r="A273">
        <v>1581</v>
      </c>
      <c r="B273" t="s">
        <v>87</v>
      </c>
      <c r="C273" t="s">
        <v>1290</v>
      </c>
      <c r="D273" t="s">
        <v>1291</v>
      </c>
      <c r="E273" t="s">
        <v>1274</v>
      </c>
      <c r="F273" t="s">
        <v>1274</v>
      </c>
      <c r="G273" t="s">
        <v>24</v>
      </c>
      <c r="H273" t="s">
        <v>729</v>
      </c>
      <c r="I273" t="s">
        <v>23</v>
      </c>
      <c r="J273" t="s">
        <v>30</v>
      </c>
      <c r="K273" t="s">
        <v>18</v>
      </c>
      <c r="L273" t="s">
        <v>1292</v>
      </c>
      <c r="M273" t="s">
        <v>729</v>
      </c>
      <c r="N273">
        <v>2028</v>
      </c>
      <c r="O273" t="s">
        <v>150</v>
      </c>
      <c r="P273" t="s">
        <v>729</v>
      </c>
      <c r="Q273" t="s">
        <v>917</v>
      </c>
      <c r="R273" t="s">
        <v>17</v>
      </c>
      <c r="S273" t="str">
        <f t="shared" si="9"/>
        <v>2028-1581</v>
      </c>
      <c r="AP273">
        <v>46027.66951388889</v>
      </c>
      <c r="AR273">
        <v>46027.66951388889</v>
      </c>
    </row>
    <row r="274" spans="1:44" x14ac:dyDescent="0.25">
      <c r="A274">
        <v>1582</v>
      </c>
      <c r="B274" t="s">
        <v>87</v>
      </c>
      <c r="C274" t="s">
        <v>1293</v>
      </c>
      <c r="D274" t="s">
        <v>1294</v>
      </c>
      <c r="E274" t="s">
        <v>1274</v>
      </c>
      <c r="F274" t="s">
        <v>1274</v>
      </c>
      <c r="G274" t="s">
        <v>24</v>
      </c>
      <c r="H274" t="s">
        <v>729</v>
      </c>
      <c r="I274" t="s">
        <v>16</v>
      </c>
      <c r="J274" t="s">
        <v>30</v>
      </c>
      <c r="K274" t="s">
        <v>18</v>
      </c>
      <c r="L274" t="s">
        <v>1295</v>
      </c>
      <c r="M274" t="s">
        <v>1296</v>
      </c>
      <c r="N274">
        <v>2028</v>
      </c>
      <c r="O274" t="s">
        <v>150</v>
      </c>
      <c r="P274">
        <v>8</v>
      </c>
      <c r="Q274" t="s">
        <v>917</v>
      </c>
      <c r="R274" t="s">
        <v>17</v>
      </c>
      <c r="S274" t="str">
        <f t="shared" si="9"/>
        <v>2028-1582</v>
      </c>
      <c r="AP274">
        <v>46027.673935185187</v>
      </c>
      <c r="AR274">
        <v>46027.673935185187</v>
      </c>
    </row>
    <row r="275" spans="1:44" x14ac:dyDescent="0.25">
      <c r="A275">
        <v>1583</v>
      </c>
      <c r="B275" t="s">
        <v>39</v>
      </c>
      <c r="C275" t="s">
        <v>1297</v>
      </c>
      <c r="D275" t="s">
        <v>1297</v>
      </c>
      <c r="E275" t="s">
        <v>75</v>
      </c>
      <c r="F275" t="s">
        <v>75</v>
      </c>
      <c r="G275" t="s">
        <v>24</v>
      </c>
      <c r="H275" t="s">
        <v>21</v>
      </c>
      <c r="I275" t="s">
        <v>19</v>
      </c>
      <c r="J275" t="s">
        <v>20</v>
      </c>
      <c r="K275" t="s">
        <v>728</v>
      </c>
      <c r="L275" t="s">
        <v>1298</v>
      </c>
      <c r="M275" t="s">
        <v>1298</v>
      </c>
      <c r="N275">
        <v>2026</v>
      </c>
      <c r="O275" t="s">
        <v>133</v>
      </c>
      <c r="P275" t="s">
        <v>729</v>
      </c>
      <c r="Q275" t="s">
        <v>735</v>
      </c>
      <c r="R275" t="s">
        <v>17</v>
      </c>
      <c r="S275" t="str">
        <f t="shared" si="9"/>
        <v>2026-1583</v>
      </c>
      <c r="AP275">
        <v>46057.030578703707</v>
      </c>
      <c r="AR275">
        <v>46057.028032407405</v>
      </c>
    </row>
    <row r="276" spans="1:44" x14ac:dyDescent="0.25">
      <c r="A276">
        <v>1584</v>
      </c>
      <c r="B276" t="s">
        <v>39</v>
      </c>
      <c r="C276" t="s">
        <v>1299</v>
      </c>
      <c r="D276" t="s">
        <v>1299</v>
      </c>
      <c r="E276" t="s">
        <v>1300</v>
      </c>
      <c r="F276" t="s">
        <v>153</v>
      </c>
      <c r="G276" t="s">
        <v>24</v>
      </c>
      <c r="H276" t="s">
        <v>21</v>
      </c>
      <c r="I276" t="s">
        <v>23</v>
      </c>
      <c r="J276" t="s">
        <v>20</v>
      </c>
      <c r="K276" t="s">
        <v>18</v>
      </c>
      <c r="L276" t="s">
        <v>788</v>
      </c>
      <c r="M276" t="s">
        <v>788</v>
      </c>
      <c r="N276">
        <v>2026</v>
      </c>
      <c r="O276" t="s">
        <v>133</v>
      </c>
      <c r="P276" t="s">
        <v>729</v>
      </c>
      <c r="Q276" t="s">
        <v>735</v>
      </c>
      <c r="R276" t="s">
        <v>17</v>
      </c>
      <c r="S276" t="str">
        <f t="shared" si="9"/>
        <v>2026-1584</v>
      </c>
      <c r="AP276">
        <v>46057.380046296297</v>
      </c>
      <c r="AR276">
        <v>46057.380046296297</v>
      </c>
    </row>
    <row r="277" spans="1:44" x14ac:dyDescent="0.25">
      <c r="A277">
        <v>1585</v>
      </c>
      <c r="B277" t="s">
        <v>39</v>
      </c>
      <c r="C277" t="s">
        <v>1301</v>
      </c>
      <c r="D277" t="s">
        <v>1301</v>
      </c>
      <c r="E277" t="s">
        <v>1302</v>
      </c>
      <c r="F277" t="s">
        <v>1302</v>
      </c>
      <c r="G277" t="s">
        <v>24</v>
      </c>
      <c r="H277" t="s">
        <v>21</v>
      </c>
      <c r="I277" t="s">
        <v>19</v>
      </c>
      <c r="J277" t="s">
        <v>20</v>
      </c>
      <c r="K277" t="s">
        <v>18</v>
      </c>
      <c r="L277" t="s">
        <v>1303</v>
      </c>
      <c r="M277" t="s">
        <v>1303</v>
      </c>
      <c r="N277">
        <v>2026</v>
      </c>
      <c r="O277" t="s">
        <v>133</v>
      </c>
      <c r="P277" t="s">
        <v>729</v>
      </c>
      <c r="Q277" t="s">
        <v>735</v>
      </c>
      <c r="R277" t="s">
        <v>17</v>
      </c>
      <c r="S277" t="str">
        <f t="shared" si="9"/>
        <v>2026-1585</v>
      </c>
      <c r="AP277">
        <v>46057.389456018522</v>
      </c>
      <c r="AR277">
        <v>46057.389456018522</v>
      </c>
    </row>
    <row r="278" spans="1:44" x14ac:dyDescent="0.25">
      <c r="A278">
        <v>1586</v>
      </c>
      <c r="B278" t="s">
        <v>39</v>
      </c>
      <c r="C278" t="s">
        <v>1304</v>
      </c>
      <c r="D278" t="s">
        <v>1304</v>
      </c>
      <c r="E278" t="s">
        <v>1300</v>
      </c>
      <c r="F278" t="s">
        <v>153</v>
      </c>
      <c r="G278" t="s">
        <v>24</v>
      </c>
      <c r="H278" t="s">
        <v>21</v>
      </c>
      <c r="I278" t="s">
        <v>23</v>
      </c>
      <c r="J278" t="s">
        <v>20</v>
      </c>
      <c r="K278" t="s">
        <v>18</v>
      </c>
      <c r="L278" t="s">
        <v>1305</v>
      </c>
      <c r="M278" t="s">
        <v>1305</v>
      </c>
      <c r="N278">
        <v>2026</v>
      </c>
      <c r="O278" t="s">
        <v>133</v>
      </c>
      <c r="P278" t="s">
        <v>729</v>
      </c>
      <c r="Q278" t="s">
        <v>735</v>
      </c>
      <c r="R278" t="s">
        <v>17</v>
      </c>
      <c r="S278" t="str">
        <f t="shared" si="9"/>
        <v>2026-1586</v>
      </c>
      <c r="AP278">
        <v>46057.406331018516</v>
      </c>
      <c r="AR278">
        <v>46057.406331018516</v>
      </c>
    </row>
    <row r="279" spans="1:44" x14ac:dyDescent="0.25">
      <c r="A279">
        <v>1587</v>
      </c>
      <c r="B279" t="s">
        <v>39</v>
      </c>
      <c r="C279" t="s">
        <v>1306</v>
      </c>
      <c r="D279" t="s">
        <v>1306</v>
      </c>
      <c r="E279" t="s">
        <v>1300</v>
      </c>
      <c r="F279" t="s">
        <v>153</v>
      </c>
      <c r="G279" t="s">
        <v>24</v>
      </c>
      <c r="H279" t="s">
        <v>21</v>
      </c>
      <c r="I279" t="s">
        <v>23</v>
      </c>
      <c r="J279" t="s">
        <v>20</v>
      </c>
      <c r="K279" t="s">
        <v>18</v>
      </c>
      <c r="L279" t="s">
        <v>1303</v>
      </c>
      <c r="M279" t="s">
        <v>1303</v>
      </c>
      <c r="N279">
        <v>2026</v>
      </c>
      <c r="O279" t="s">
        <v>133</v>
      </c>
      <c r="P279" t="s">
        <v>729</v>
      </c>
      <c r="Q279" t="s">
        <v>735</v>
      </c>
      <c r="R279" t="s">
        <v>17</v>
      </c>
      <c r="S279" t="str">
        <f t="shared" si="9"/>
        <v>2026-1587</v>
      </c>
      <c r="AP279">
        <v>46057.413819444446</v>
      </c>
      <c r="AR279">
        <v>46057.413819444446</v>
      </c>
    </row>
    <row r="280" spans="1:44" x14ac:dyDescent="0.25">
      <c r="A280">
        <v>1588</v>
      </c>
      <c r="B280" t="s">
        <v>39</v>
      </c>
      <c r="C280" t="s">
        <v>1307</v>
      </c>
      <c r="D280" t="s">
        <v>1307</v>
      </c>
      <c r="E280" t="s">
        <v>1308</v>
      </c>
      <c r="F280" t="s">
        <v>153</v>
      </c>
      <c r="G280" t="s">
        <v>24</v>
      </c>
      <c r="H280" t="s">
        <v>21</v>
      </c>
      <c r="I280" t="s">
        <v>16</v>
      </c>
      <c r="J280" t="s">
        <v>20</v>
      </c>
      <c r="K280" t="s">
        <v>18</v>
      </c>
      <c r="L280" t="s">
        <v>544</v>
      </c>
      <c r="M280" t="s">
        <v>1309</v>
      </c>
      <c r="N280">
        <v>2027</v>
      </c>
      <c r="O280" t="s">
        <v>133</v>
      </c>
      <c r="P280">
        <v>9.6969999999999992</v>
      </c>
      <c r="Q280" t="s">
        <v>735</v>
      </c>
      <c r="R280" t="s">
        <v>17</v>
      </c>
      <c r="S280" t="str">
        <f t="shared" si="9"/>
        <v>2027-1588</v>
      </c>
      <c r="AP280">
        <v>46057.473495370374</v>
      </c>
      <c r="AR280">
        <v>46057.425682870373</v>
      </c>
    </row>
    <row r="281" spans="1:44" x14ac:dyDescent="0.25">
      <c r="A281">
        <v>1589</v>
      </c>
      <c r="B281" t="s">
        <v>39</v>
      </c>
      <c r="C281" t="s">
        <v>1310</v>
      </c>
      <c r="D281" t="s">
        <v>1310</v>
      </c>
      <c r="E281" t="s">
        <v>1311</v>
      </c>
      <c r="F281" t="s">
        <v>1312</v>
      </c>
      <c r="G281" t="s">
        <v>24</v>
      </c>
      <c r="H281" t="s">
        <v>21</v>
      </c>
      <c r="I281" t="s">
        <v>16</v>
      </c>
      <c r="J281" t="s">
        <v>20</v>
      </c>
      <c r="K281" t="s">
        <v>18</v>
      </c>
      <c r="L281" t="s">
        <v>771</v>
      </c>
      <c r="M281" t="s">
        <v>560</v>
      </c>
      <c r="N281">
        <v>2027</v>
      </c>
      <c r="O281" t="s">
        <v>133</v>
      </c>
      <c r="P281" t="s">
        <v>22</v>
      </c>
      <c r="Q281" t="s">
        <v>735</v>
      </c>
      <c r="R281" t="s">
        <v>17</v>
      </c>
      <c r="S281" t="str">
        <f t="shared" si="9"/>
        <v>2027-1589</v>
      </c>
      <c r="AP281">
        <v>46057.459814814814</v>
      </c>
      <c r="AR281">
        <v>46057.459814814814</v>
      </c>
    </row>
    <row r="282" spans="1:44" x14ac:dyDescent="0.25">
      <c r="A282">
        <v>1590</v>
      </c>
      <c r="B282" t="s">
        <v>39</v>
      </c>
      <c r="C282" t="s">
        <v>1313</v>
      </c>
      <c r="D282" t="s">
        <v>1313</v>
      </c>
      <c r="E282" t="s">
        <v>1308</v>
      </c>
      <c r="F282" t="s">
        <v>153</v>
      </c>
      <c r="G282" t="s">
        <v>24</v>
      </c>
      <c r="H282" t="s">
        <v>21</v>
      </c>
      <c r="I282" t="s">
        <v>16</v>
      </c>
      <c r="J282" t="s">
        <v>20</v>
      </c>
      <c r="K282" t="s">
        <v>18</v>
      </c>
      <c r="L282" t="s">
        <v>1314</v>
      </c>
      <c r="M282" t="s">
        <v>1315</v>
      </c>
      <c r="N282">
        <v>2027</v>
      </c>
      <c r="O282" t="s">
        <v>133</v>
      </c>
      <c r="P282">
        <v>1.86</v>
      </c>
      <c r="Q282" t="s">
        <v>735</v>
      </c>
      <c r="R282" t="s">
        <v>17</v>
      </c>
      <c r="S282" t="str">
        <f t="shared" si="9"/>
        <v>2027-1590</v>
      </c>
      <c r="AP282">
        <v>46057.476967592593</v>
      </c>
      <c r="AR282">
        <v>46057.476967592593</v>
      </c>
    </row>
    <row r="283" spans="1:44" x14ac:dyDescent="0.25">
      <c r="A283">
        <v>1591</v>
      </c>
      <c r="B283" t="s">
        <v>39</v>
      </c>
      <c r="C283" t="s">
        <v>1316</v>
      </c>
      <c r="D283" t="s">
        <v>1316</v>
      </c>
      <c r="E283" t="s">
        <v>1308</v>
      </c>
      <c r="F283" t="s">
        <v>153</v>
      </c>
      <c r="G283" t="s">
        <v>24</v>
      </c>
      <c r="H283" t="s">
        <v>21</v>
      </c>
      <c r="I283" t="s">
        <v>16</v>
      </c>
      <c r="J283" t="s">
        <v>20</v>
      </c>
      <c r="K283" t="s">
        <v>18</v>
      </c>
      <c r="L283" t="s">
        <v>804</v>
      </c>
      <c r="M283" t="s">
        <v>1305</v>
      </c>
      <c r="N283">
        <v>2027</v>
      </c>
      <c r="O283" t="s">
        <v>133</v>
      </c>
      <c r="P283" t="s">
        <v>22</v>
      </c>
      <c r="Q283" t="s">
        <v>735</v>
      </c>
      <c r="R283" t="s">
        <v>17</v>
      </c>
      <c r="S283" t="str">
        <f t="shared" si="9"/>
        <v>2027-1591</v>
      </c>
      <c r="AP283">
        <v>46057.47965277778</v>
      </c>
      <c r="AR283">
        <v>46057.47965277778</v>
      </c>
    </row>
    <row r="284" spans="1:44" x14ac:dyDescent="0.25">
      <c r="A284">
        <v>1592</v>
      </c>
      <c r="B284" t="s">
        <v>39</v>
      </c>
      <c r="C284" t="s">
        <v>1317</v>
      </c>
      <c r="D284" t="s">
        <v>1317</v>
      </c>
      <c r="E284" t="s">
        <v>1300</v>
      </c>
      <c r="F284" t="s">
        <v>153</v>
      </c>
      <c r="G284" t="s">
        <v>24</v>
      </c>
      <c r="H284" t="s">
        <v>21</v>
      </c>
      <c r="I284" t="s">
        <v>23</v>
      </c>
      <c r="J284" t="s">
        <v>20</v>
      </c>
      <c r="K284" t="s">
        <v>18</v>
      </c>
      <c r="L284" t="s">
        <v>1318</v>
      </c>
      <c r="M284" t="s">
        <v>1318</v>
      </c>
      <c r="N284">
        <v>2027</v>
      </c>
      <c r="O284" t="s">
        <v>133</v>
      </c>
      <c r="P284" t="s">
        <v>729</v>
      </c>
      <c r="Q284" t="s">
        <v>735</v>
      </c>
      <c r="R284" t="s">
        <v>17</v>
      </c>
      <c r="S284" t="str">
        <f t="shared" si="9"/>
        <v>2027-1592</v>
      </c>
      <c r="AP284">
        <v>46057.546493055554</v>
      </c>
      <c r="AR284">
        <v>46057.546493055554</v>
      </c>
    </row>
    <row r="285" spans="1:44" x14ac:dyDescent="0.25">
      <c r="A285">
        <v>1593</v>
      </c>
      <c r="B285" t="s">
        <v>39</v>
      </c>
      <c r="C285" t="s">
        <v>1319</v>
      </c>
      <c r="D285" t="s">
        <v>1319</v>
      </c>
      <c r="E285" t="s">
        <v>1300</v>
      </c>
      <c r="F285" t="s">
        <v>153</v>
      </c>
      <c r="G285" t="s">
        <v>24</v>
      </c>
      <c r="H285" t="s">
        <v>21</v>
      </c>
      <c r="I285" t="s">
        <v>23</v>
      </c>
      <c r="J285" t="s">
        <v>20</v>
      </c>
      <c r="K285" t="s">
        <v>18</v>
      </c>
      <c r="L285" t="s">
        <v>1320</v>
      </c>
      <c r="M285" t="s">
        <v>1320</v>
      </c>
      <c r="N285">
        <v>2027</v>
      </c>
      <c r="O285" t="s">
        <v>133</v>
      </c>
      <c r="P285" t="s">
        <v>729</v>
      </c>
      <c r="Q285" t="s">
        <v>735</v>
      </c>
      <c r="R285" t="s">
        <v>17</v>
      </c>
      <c r="S285" t="str">
        <f t="shared" si="9"/>
        <v>2027-1593</v>
      </c>
      <c r="AP285">
        <v>46057.54928240741</v>
      </c>
      <c r="AR285">
        <v>46057.54928240741</v>
      </c>
    </row>
    <row r="286" spans="1:44" x14ac:dyDescent="0.25">
      <c r="A286">
        <v>1594</v>
      </c>
      <c r="B286" t="s">
        <v>39</v>
      </c>
      <c r="C286" t="s">
        <v>1321</v>
      </c>
      <c r="D286" t="s">
        <v>1321</v>
      </c>
      <c r="E286" t="s">
        <v>1300</v>
      </c>
      <c r="F286" t="s">
        <v>153</v>
      </c>
      <c r="G286" t="s">
        <v>24</v>
      </c>
      <c r="H286" t="s">
        <v>21</v>
      </c>
      <c r="I286" t="s">
        <v>23</v>
      </c>
      <c r="J286" t="s">
        <v>20</v>
      </c>
      <c r="K286" t="s">
        <v>18</v>
      </c>
      <c r="L286" t="s">
        <v>1322</v>
      </c>
      <c r="M286" t="s">
        <v>1322</v>
      </c>
      <c r="N286">
        <v>2027</v>
      </c>
      <c r="O286" t="s">
        <v>133</v>
      </c>
      <c r="P286" t="s">
        <v>729</v>
      </c>
      <c r="Q286" t="s">
        <v>735</v>
      </c>
      <c r="R286" t="s">
        <v>17</v>
      </c>
      <c r="S286" t="str">
        <f t="shared" si="9"/>
        <v>2027-1594</v>
      </c>
      <c r="AP286">
        <v>46057.558032407411</v>
      </c>
      <c r="AR286">
        <v>46057.558032407411</v>
      </c>
    </row>
    <row r="287" spans="1:44" x14ac:dyDescent="0.25">
      <c r="A287">
        <v>1595</v>
      </c>
      <c r="B287" t="s">
        <v>39</v>
      </c>
      <c r="C287" t="s">
        <v>1323</v>
      </c>
      <c r="D287" t="s">
        <v>1323</v>
      </c>
      <c r="E287" t="s">
        <v>1300</v>
      </c>
      <c r="F287" t="s">
        <v>153</v>
      </c>
      <c r="G287" t="s">
        <v>24</v>
      </c>
      <c r="H287" t="s">
        <v>21</v>
      </c>
      <c r="I287" t="s">
        <v>23</v>
      </c>
      <c r="J287" t="s">
        <v>55</v>
      </c>
      <c r="K287" t="s">
        <v>18</v>
      </c>
      <c r="L287" t="s">
        <v>810</v>
      </c>
      <c r="M287" t="s">
        <v>810</v>
      </c>
      <c r="N287">
        <v>2027</v>
      </c>
      <c r="O287" t="s">
        <v>133</v>
      </c>
      <c r="P287" t="s">
        <v>729</v>
      </c>
      <c r="Q287" t="s">
        <v>735</v>
      </c>
      <c r="R287" t="s">
        <v>17</v>
      </c>
      <c r="S287" t="str">
        <f t="shared" si="9"/>
        <v>2027-1595</v>
      </c>
      <c r="AP287">
        <v>46057.560636574075</v>
      </c>
      <c r="AR287">
        <v>46057.560636574075</v>
      </c>
    </row>
    <row r="288" spans="1:44" x14ac:dyDescent="0.25">
      <c r="A288">
        <v>1596</v>
      </c>
      <c r="B288" t="s">
        <v>39</v>
      </c>
      <c r="C288" t="s">
        <v>1324</v>
      </c>
      <c r="D288" t="s">
        <v>1324</v>
      </c>
      <c r="E288" t="s">
        <v>1300</v>
      </c>
      <c r="F288" t="s">
        <v>153</v>
      </c>
      <c r="G288" t="s">
        <v>24</v>
      </c>
      <c r="H288" t="s">
        <v>21</v>
      </c>
      <c r="I288" t="s">
        <v>23</v>
      </c>
      <c r="J288" t="s">
        <v>20</v>
      </c>
      <c r="K288" t="s">
        <v>18</v>
      </c>
      <c r="L288" t="s">
        <v>1325</v>
      </c>
      <c r="M288" t="s">
        <v>1325</v>
      </c>
      <c r="N288">
        <v>2027</v>
      </c>
      <c r="O288" t="s">
        <v>133</v>
      </c>
      <c r="P288" t="s">
        <v>729</v>
      </c>
      <c r="Q288" t="s">
        <v>735</v>
      </c>
      <c r="R288" t="s">
        <v>17</v>
      </c>
      <c r="S288" t="str">
        <f t="shared" si="9"/>
        <v>2027-1596</v>
      </c>
      <c r="AP288">
        <v>46057.576296296298</v>
      </c>
      <c r="AR288">
        <v>46057.576296296298</v>
      </c>
    </row>
    <row r="289" spans="1:44" x14ac:dyDescent="0.25">
      <c r="A289">
        <v>1597</v>
      </c>
      <c r="B289" t="s">
        <v>39</v>
      </c>
      <c r="C289" t="s">
        <v>1326</v>
      </c>
      <c r="D289" t="s">
        <v>1326</v>
      </c>
      <c r="E289" t="s">
        <v>1327</v>
      </c>
      <c r="F289" t="s">
        <v>153</v>
      </c>
      <c r="G289" t="s">
        <v>24</v>
      </c>
      <c r="H289" t="s">
        <v>21</v>
      </c>
      <c r="I289" t="s">
        <v>19</v>
      </c>
      <c r="J289" t="s">
        <v>20</v>
      </c>
      <c r="K289" t="s">
        <v>18</v>
      </c>
      <c r="L289" t="s">
        <v>882</v>
      </c>
      <c r="M289" t="s">
        <v>882</v>
      </c>
      <c r="N289">
        <v>2028</v>
      </c>
      <c r="O289" t="s">
        <v>133</v>
      </c>
      <c r="P289" t="s">
        <v>729</v>
      </c>
      <c r="Q289" t="s">
        <v>735</v>
      </c>
      <c r="R289" t="s">
        <v>17</v>
      </c>
      <c r="S289" t="str">
        <f t="shared" si="9"/>
        <v>2028-1597</v>
      </c>
      <c r="AP289">
        <v>46057.578703703701</v>
      </c>
      <c r="AR289">
        <v>46057.578703703701</v>
      </c>
    </row>
    <row r="290" spans="1:44" x14ac:dyDescent="0.25">
      <c r="A290">
        <v>1598</v>
      </c>
      <c r="B290" t="s">
        <v>39</v>
      </c>
      <c r="C290" t="s">
        <v>1328</v>
      </c>
      <c r="D290" t="s">
        <v>1328</v>
      </c>
      <c r="E290" t="s">
        <v>1329</v>
      </c>
      <c r="F290" t="s">
        <v>153</v>
      </c>
      <c r="G290" t="s">
        <v>24</v>
      </c>
      <c r="H290" t="s">
        <v>21</v>
      </c>
      <c r="I290" t="s">
        <v>16</v>
      </c>
      <c r="J290" t="s">
        <v>27</v>
      </c>
      <c r="K290" t="s">
        <v>18</v>
      </c>
      <c r="L290" t="s">
        <v>209</v>
      </c>
      <c r="M290" t="s">
        <v>558</v>
      </c>
      <c r="N290">
        <v>2028</v>
      </c>
      <c r="O290" t="s">
        <v>133</v>
      </c>
      <c r="P290">
        <v>13.3</v>
      </c>
      <c r="Q290" t="s">
        <v>731</v>
      </c>
      <c r="R290" t="s">
        <v>17</v>
      </c>
      <c r="S290" t="str">
        <f t="shared" si="9"/>
        <v>2028-1598</v>
      </c>
      <c r="AP290">
        <v>46057.590787037036</v>
      </c>
      <c r="AR290">
        <v>46057.590787037036</v>
      </c>
    </row>
    <row r="291" spans="1:44" x14ac:dyDescent="0.25">
      <c r="A291">
        <v>1599</v>
      </c>
      <c r="B291" t="s">
        <v>39</v>
      </c>
      <c r="C291" t="s">
        <v>1330</v>
      </c>
      <c r="D291" t="s">
        <v>1330</v>
      </c>
      <c r="E291" t="s">
        <v>1331</v>
      </c>
      <c r="F291" t="s">
        <v>1332</v>
      </c>
      <c r="G291" t="s">
        <v>24</v>
      </c>
      <c r="H291" t="s">
        <v>21</v>
      </c>
      <c r="I291" t="s">
        <v>16</v>
      </c>
      <c r="J291" t="s">
        <v>20</v>
      </c>
      <c r="K291" t="s">
        <v>18</v>
      </c>
      <c r="L291" t="s">
        <v>1303</v>
      </c>
      <c r="M291" t="s">
        <v>560</v>
      </c>
      <c r="N291">
        <v>2028</v>
      </c>
      <c r="O291" t="s">
        <v>133</v>
      </c>
      <c r="P291">
        <v>8.5</v>
      </c>
      <c r="Q291" t="s">
        <v>735</v>
      </c>
      <c r="R291" t="s">
        <v>17</v>
      </c>
      <c r="S291" t="str">
        <f t="shared" si="9"/>
        <v>2028-1599</v>
      </c>
      <c r="AP291">
        <v>46057.600624999999</v>
      </c>
      <c r="AR291">
        <v>46057.600624999999</v>
      </c>
    </row>
    <row r="292" spans="1:44" x14ac:dyDescent="0.25">
      <c r="A292">
        <v>1600</v>
      </c>
      <c r="B292" t="s">
        <v>39</v>
      </c>
      <c r="C292" t="s">
        <v>1333</v>
      </c>
      <c r="D292" t="s">
        <v>1333</v>
      </c>
      <c r="E292" t="s">
        <v>1300</v>
      </c>
      <c r="F292" t="s">
        <v>153</v>
      </c>
      <c r="G292" t="s">
        <v>24</v>
      </c>
      <c r="H292" t="s">
        <v>21</v>
      </c>
      <c r="I292" t="s">
        <v>23</v>
      </c>
      <c r="J292" t="s">
        <v>20</v>
      </c>
      <c r="K292" t="s">
        <v>18</v>
      </c>
      <c r="L292" t="s">
        <v>73</v>
      </c>
      <c r="M292" t="s">
        <v>73</v>
      </c>
      <c r="N292">
        <v>2028</v>
      </c>
      <c r="O292" t="s">
        <v>133</v>
      </c>
      <c r="P292" t="s">
        <v>729</v>
      </c>
      <c r="Q292" t="s">
        <v>731</v>
      </c>
      <c r="R292" t="s">
        <v>17</v>
      </c>
      <c r="S292" t="str">
        <f t="shared" si="9"/>
        <v>2028-1600</v>
      </c>
      <c r="AP292">
        <v>46057.617986111109</v>
      </c>
      <c r="AR292">
        <v>46057.617986111109</v>
      </c>
    </row>
    <row r="293" spans="1:44" x14ac:dyDescent="0.25">
      <c r="A293">
        <v>1601</v>
      </c>
      <c r="B293" t="s">
        <v>39</v>
      </c>
      <c r="C293" t="s">
        <v>1334</v>
      </c>
      <c r="D293" t="s">
        <v>1334</v>
      </c>
      <c r="E293" t="s">
        <v>1300</v>
      </c>
      <c r="F293" t="s">
        <v>153</v>
      </c>
      <c r="G293" t="s">
        <v>24</v>
      </c>
      <c r="H293" t="s">
        <v>21</v>
      </c>
      <c r="I293" t="s">
        <v>23</v>
      </c>
      <c r="J293" t="s">
        <v>20</v>
      </c>
      <c r="K293" t="s">
        <v>18</v>
      </c>
      <c r="L293" t="s">
        <v>771</v>
      </c>
      <c r="M293" t="s">
        <v>771</v>
      </c>
      <c r="N293">
        <v>2028</v>
      </c>
      <c r="O293" t="s">
        <v>133</v>
      </c>
      <c r="P293" t="s">
        <v>729</v>
      </c>
      <c r="Q293" t="s">
        <v>735</v>
      </c>
      <c r="R293" t="s">
        <v>17</v>
      </c>
      <c r="S293" t="str">
        <f t="shared" si="9"/>
        <v>2028-1601</v>
      </c>
      <c r="AP293">
        <v>46057.620729166665</v>
      </c>
      <c r="AR293">
        <v>46057.620729166665</v>
      </c>
    </row>
    <row r="294" spans="1:44" x14ac:dyDescent="0.25">
      <c r="A294">
        <v>1602</v>
      </c>
      <c r="B294" t="s">
        <v>39</v>
      </c>
      <c r="C294" t="s">
        <v>1335</v>
      </c>
      <c r="D294" t="s">
        <v>1335</v>
      </c>
      <c r="E294" t="s">
        <v>1300</v>
      </c>
      <c r="F294" t="s">
        <v>153</v>
      </c>
      <c r="G294" t="s">
        <v>24</v>
      </c>
      <c r="H294" t="s">
        <v>21</v>
      </c>
      <c r="I294" t="s">
        <v>23</v>
      </c>
      <c r="J294" t="s">
        <v>20</v>
      </c>
      <c r="K294" t="s">
        <v>18</v>
      </c>
      <c r="L294" t="s">
        <v>1336</v>
      </c>
      <c r="M294" t="s">
        <v>1336</v>
      </c>
      <c r="N294">
        <v>2028</v>
      </c>
      <c r="O294" t="s">
        <v>133</v>
      </c>
      <c r="P294" t="s">
        <v>729</v>
      </c>
      <c r="Q294" t="s">
        <v>735</v>
      </c>
      <c r="R294" t="s">
        <v>17</v>
      </c>
      <c r="S294" t="str">
        <f t="shared" si="9"/>
        <v>2028-1602</v>
      </c>
      <c r="AP294">
        <v>46057.623043981483</v>
      </c>
      <c r="AR294">
        <v>46057.623043981483</v>
      </c>
    </row>
    <row r="295" spans="1:44" x14ac:dyDescent="0.25">
      <c r="A295">
        <v>1603</v>
      </c>
      <c r="B295" t="s">
        <v>39</v>
      </c>
      <c r="C295" t="s">
        <v>1337</v>
      </c>
      <c r="D295" t="s">
        <v>1337</v>
      </c>
      <c r="E295" t="s">
        <v>1338</v>
      </c>
      <c r="F295" t="s">
        <v>1338</v>
      </c>
      <c r="G295" t="s">
        <v>24</v>
      </c>
      <c r="H295" t="s">
        <v>21</v>
      </c>
      <c r="I295" t="s">
        <v>16</v>
      </c>
      <c r="J295" t="s">
        <v>20</v>
      </c>
      <c r="K295" t="s">
        <v>18</v>
      </c>
      <c r="L295" t="s">
        <v>1305</v>
      </c>
      <c r="M295" t="s">
        <v>788</v>
      </c>
      <c r="N295">
        <v>2029</v>
      </c>
      <c r="O295" t="s">
        <v>133</v>
      </c>
      <c r="P295">
        <v>6.6</v>
      </c>
      <c r="Q295" t="s">
        <v>735</v>
      </c>
      <c r="R295" t="s">
        <v>17</v>
      </c>
      <c r="S295" t="str">
        <f t="shared" si="9"/>
        <v>2029-1603</v>
      </c>
      <c r="AP295">
        <v>46057.645902777775</v>
      </c>
      <c r="AR295">
        <v>46057.645902777775</v>
      </c>
    </row>
    <row r="296" spans="1:44" x14ac:dyDescent="0.25">
      <c r="A296">
        <v>1604</v>
      </c>
      <c r="B296" t="s">
        <v>39</v>
      </c>
      <c r="C296" t="s">
        <v>1339</v>
      </c>
      <c r="D296" t="s">
        <v>1339</v>
      </c>
      <c r="E296" t="s">
        <v>1338</v>
      </c>
      <c r="F296" t="s">
        <v>1338</v>
      </c>
      <c r="G296" t="s">
        <v>24</v>
      </c>
      <c r="H296" t="s">
        <v>729</v>
      </c>
      <c r="I296" t="s">
        <v>16</v>
      </c>
      <c r="J296" t="s">
        <v>20</v>
      </c>
      <c r="K296" t="s">
        <v>18</v>
      </c>
      <c r="L296" t="s">
        <v>1305</v>
      </c>
      <c r="M296" t="s">
        <v>1340</v>
      </c>
      <c r="N296">
        <v>2029</v>
      </c>
      <c r="O296" t="s">
        <v>133</v>
      </c>
      <c r="P296">
        <v>6.5</v>
      </c>
      <c r="Q296" t="s">
        <v>735</v>
      </c>
      <c r="R296" t="s">
        <v>17</v>
      </c>
      <c r="S296" t="str">
        <f t="shared" si="9"/>
        <v>2029-1604</v>
      </c>
      <c r="AP296">
        <v>46057.65247685185</v>
      </c>
      <c r="AR296">
        <v>46057.65247685185</v>
      </c>
    </row>
    <row r="297" spans="1:44" x14ac:dyDescent="0.25">
      <c r="A297">
        <v>1605</v>
      </c>
      <c r="B297" t="s">
        <v>39</v>
      </c>
      <c r="C297" t="s">
        <v>1341</v>
      </c>
      <c r="D297" t="s">
        <v>1341</v>
      </c>
      <c r="E297" t="s">
        <v>1338</v>
      </c>
      <c r="F297" t="s">
        <v>1338</v>
      </c>
      <c r="G297" t="s">
        <v>24</v>
      </c>
      <c r="H297" t="s">
        <v>21</v>
      </c>
      <c r="I297" t="s">
        <v>16</v>
      </c>
      <c r="J297" t="s">
        <v>20</v>
      </c>
      <c r="K297" t="s">
        <v>18</v>
      </c>
      <c r="L297" t="s">
        <v>788</v>
      </c>
      <c r="M297" t="s">
        <v>70</v>
      </c>
      <c r="N297">
        <v>2029</v>
      </c>
      <c r="O297" t="s">
        <v>133</v>
      </c>
      <c r="P297">
        <v>2.5</v>
      </c>
      <c r="Q297" t="s">
        <v>735</v>
      </c>
      <c r="R297" t="s">
        <v>17</v>
      </c>
      <c r="S297" t="str">
        <f t="shared" si="9"/>
        <v>2029-1605</v>
      </c>
      <c r="AP297">
        <v>46057.655474537038</v>
      </c>
      <c r="AR297">
        <v>46057.655474537038</v>
      </c>
    </row>
    <row r="298" spans="1:44" x14ac:dyDescent="0.25">
      <c r="A298">
        <v>1606</v>
      </c>
      <c r="B298" t="s">
        <v>39</v>
      </c>
      <c r="C298" t="s">
        <v>1342</v>
      </c>
      <c r="D298" t="s">
        <v>1342</v>
      </c>
      <c r="E298" t="s">
        <v>1300</v>
      </c>
      <c r="F298" t="s">
        <v>153</v>
      </c>
      <c r="G298" t="s">
        <v>24</v>
      </c>
      <c r="H298" t="s">
        <v>21</v>
      </c>
      <c r="I298" t="s">
        <v>23</v>
      </c>
      <c r="J298" t="s">
        <v>20</v>
      </c>
      <c r="K298" t="s">
        <v>18</v>
      </c>
      <c r="L298" t="s">
        <v>1314</v>
      </c>
      <c r="M298" t="s">
        <v>1314</v>
      </c>
      <c r="N298">
        <v>2029</v>
      </c>
      <c r="O298" t="s">
        <v>133</v>
      </c>
      <c r="P298" t="s">
        <v>729</v>
      </c>
      <c r="Q298" t="s">
        <v>735</v>
      </c>
      <c r="R298" t="s">
        <v>17</v>
      </c>
      <c r="S298" t="str">
        <f t="shared" si="9"/>
        <v>2029-1606</v>
      </c>
      <c r="AP298">
        <v>46057.658229166664</v>
      </c>
      <c r="AR298">
        <v>46057.658229166664</v>
      </c>
    </row>
    <row r="299" spans="1:44" x14ac:dyDescent="0.25">
      <c r="A299">
        <v>1607</v>
      </c>
      <c r="B299" t="s">
        <v>39</v>
      </c>
      <c r="C299" t="s">
        <v>1343</v>
      </c>
      <c r="D299" t="s">
        <v>1343</v>
      </c>
      <c r="E299" t="s">
        <v>153</v>
      </c>
      <c r="F299" t="s">
        <v>153</v>
      </c>
      <c r="G299" t="s">
        <v>24</v>
      </c>
      <c r="H299" t="s">
        <v>21</v>
      </c>
      <c r="I299" t="s">
        <v>19</v>
      </c>
      <c r="J299" t="s">
        <v>27</v>
      </c>
      <c r="K299" t="s">
        <v>18</v>
      </c>
      <c r="L299" t="s">
        <v>1344</v>
      </c>
      <c r="M299" t="s">
        <v>1344</v>
      </c>
      <c r="N299">
        <v>2030</v>
      </c>
      <c r="O299" t="s">
        <v>133</v>
      </c>
      <c r="P299" t="s">
        <v>729</v>
      </c>
      <c r="Q299" t="s">
        <v>735</v>
      </c>
      <c r="R299" t="s">
        <v>17</v>
      </c>
      <c r="S299" t="str">
        <f t="shared" ref="S299:S330" si="10">N299&amp;"-"&amp;A299</f>
        <v>2030-1607</v>
      </c>
      <c r="AP299">
        <v>46057.663298611114</v>
      </c>
      <c r="AR299">
        <v>46057.663298611114</v>
      </c>
    </row>
    <row r="300" spans="1:44" x14ac:dyDescent="0.25">
      <c r="A300">
        <v>1608</v>
      </c>
      <c r="B300" t="s">
        <v>39</v>
      </c>
      <c r="C300" t="s">
        <v>1345</v>
      </c>
      <c r="D300" t="s">
        <v>1345</v>
      </c>
      <c r="E300" t="s">
        <v>153</v>
      </c>
      <c r="F300" t="s">
        <v>153</v>
      </c>
      <c r="G300" t="s">
        <v>24</v>
      </c>
      <c r="H300" t="s">
        <v>21</v>
      </c>
      <c r="I300" t="s">
        <v>19</v>
      </c>
      <c r="J300" t="s">
        <v>27</v>
      </c>
      <c r="K300" t="s">
        <v>18</v>
      </c>
      <c r="L300" t="s">
        <v>1346</v>
      </c>
      <c r="M300" t="s">
        <v>1346</v>
      </c>
      <c r="N300">
        <v>2030</v>
      </c>
      <c r="O300" t="s">
        <v>133</v>
      </c>
      <c r="P300" t="s">
        <v>729</v>
      </c>
      <c r="Q300" t="s">
        <v>731</v>
      </c>
      <c r="R300" t="s">
        <v>17</v>
      </c>
      <c r="S300" t="str">
        <f t="shared" si="10"/>
        <v>2030-1608</v>
      </c>
      <c r="AP300">
        <v>46057.665243055555</v>
      </c>
      <c r="AR300">
        <v>46057.665243055555</v>
      </c>
    </row>
    <row r="301" spans="1:44" x14ac:dyDescent="0.25">
      <c r="A301">
        <v>1609</v>
      </c>
      <c r="B301" t="s">
        <v>39</v>
      </c>
      <c r="C301" t="s">
        <v>1347</v>
      </c>
      <c r="D301" t="s">
        <v>1347</v>
      </c>
      <c r="E301" t="s">
        <v>1268</v>
      </c>
      <c r="F301" t="s">
        <v>1268</v>
      </c>
      <c r="G301" t="s">
        <v>24</v>
      </c>
      <c r="H301" t="s">
        <v>21</v>
      </c>
      <c r="I301" t="s">
        <v>16</v>
      </c>
      <c r="J301" t="s">
        <v>27</v>
      </c>
      <c r="K301" t="s">
        <v>18</v>
      </c>
      <c r="L301" t="s">
        <v>1348</v>
      </c>
      <c r="M301" t="s">
        <v>1349</v>
      </c>
      <c r="N301">
        <v>2030</v>
      </c>
      <c r="O301" t="s">
        <v>133</v>
      </c>
      <c r="P301">
        <v>84.93</v>
      </c>
      <c r="Q301" t="s">
        <v>731</v>
      </c>
      <c r="R301" t="s">
        <v>17</v>
      </c>
      <c r="S301" t="str">
        <f t="shared" si="10"/>
        <v>2030-1609</v>
      </c>
      <c r="AP301">
        <v>46057.668240740742</v>
      </c>
      <c r="AR301">
        <v>46057.668240740742</v>
      </c>
    </row>
    <row r="302" spans="1:44" x14ac:dyDescent="0.25">
      <c r="A302">
        <v>1610</v>
      </c>
      <c r="B302" t="s">
        <v>39</v>
      </c>
      <c r="C302" t="s">
        <v>1350</v>
      </c>
      <c r="D302" t="s">
        <v>1350</v>
      </c>
      <c r="E302" t="s">
        <v>1338</v>
      </c>
      <c r="F302" t="s">
        <v>1338</v>
      </c>
      <c r="G302" t="s">
        <v>24</v>
      </c>
      <c r="H302" t="s">
        <v>21</v>
      </c>
      <c r="I302" t="s">
        <v>16</v>
      </c>
      <c r="J302" t="s">
        <v>20</v>
      </c>
      <c r="K302" t="s">
        <v>18</v>
      </c>
      <c r="L302" t="s">
        <v>1344</v>
      </c>
      <c r="M302" t="s">
        <v>1305</v>
      </c>
      <c r="N302">
        <v>2030</v>
      </c>
      <c r="O302" t="s">
        <v>133</v>
      </c>
      <c r="P302">
        <v>23</v>
      </c>
      <c r="Q302" t="s">
        <v>735</v>
      </c>
      <c r="R302" t="s">
        <v>17</v>
      </c>
      <c r="S302" t="str">
        <f t="shared" si="10"/>
        <v>2030-1610</v>
      </c>
      <c r="AP302">
        <v>46057.671030092592</v>
      </c>
      <c r="AR302">
        <v>46057.671030092592</v>
      </c>
    </row>
    <row r="303" spans="1:44" x14ac:dyDescent="0.25">
      <c r="A303">
        <v>1611</v>
      </c>
      <c r="B303" t="s">
        <v>39</v>
      </c>
      <c r="C303" t="s">
        <v>1351</v>
      </c>
      <c r="D303" t="s">
        <v>1351</v>
      </c>
      <c r="E303" t="s">
        <v>1338</v>
      </c>
      <c r="F303" t="s">
        <v>1338</v>
      </c>
      <c r="G303" t="s">
        <v>24</v>
      </c>
      <c r="H303" t="s">
        <v>21</v>
      </c>
      <c r="I303" t="s">
        <v>16</v>
      </c>
      <c r="J303" t="s">
        <v>20</v>
      </c>
      <c r="K303" t="s">
        <v>18</v>
      </c>
      <c r="L303" t="s">
        <v>1344</v>
      </c>
      <c r="M303" t="s">
        <v>1352</v>
      </c>
      <c r="N303">
        <v>2030</v>
      </c>
      <c r="O303" t="s">
        <v>133</v>
      </c>
      <c r="P303">
        <v>9</v>
      </c>
      <c r="Q303" t="s">
        <v>735</v>
      </c>
      <c r="R303" t="s">
        <v>17</v>
      </c>
      <c r="S303" t="str">
        <f t="shared" si="10"/>
        <v>2030-1611</v>
      </c>
      <c r="AP303">
        <v>46057.673275462963</v>
      </c>
      <c r="AR303">
        <v>46057.673275462963</v>
      </c>
    </row>
    <row r="304" spans="1:44" x14ac:dyDescent="0.25">
      <c r="A304">
        <v>1612</v>
      </c>
      <c r="B304" t="s">
        <v>39</v>
      </c>
      <c r="C304" t="s">
        <v>1353</v>
      </c>
      <c r="D304" t="s">
        <v>1353</v>
      </c>
      <c r="E304" t="s">
        <v>1338</v>
      </c>
      <c r="F304" t="s">
        <v>1338</v>
      </c>
      <c r="G304" t="s">
        <v>24</v>
      </c>
      <c r="H304" t="s">
        <v>21</v>
      </c>
      <c r="I304" t="s">
        <v>16</v>
      </c>
      <c r="J304" t="s">
        <v>20</v>
      </c>
      <c r="K304" t="s">
        <v>18</v>
      </c>
      <c r="L304" t="s">
        <v>1344</v>
      </c>
      <c r="M304" t="s">
        <v>562</v>
      </c>
      <c r="N304">
        <v>2030</v>
      </c>
      <c r="O304" t="s">
        <v>133</v>
      </c>
      <c r="P304">
        <v>10</v>
      </c>
      <c r="Q304" t="s">
        <v>735</v>
      </c>
      <c r="R304" t="s">
        <v>17</v>
      </c>
      <c r="S304" t="str">
        <f t="shared" si="10"/>
        <v>2030-1612</v>
      </c>
      <c r="AP304">
        <v>46057.675833333335</v>
      </c>
      <c r="AR304">
        <v>46057.675833333335</v>
      </c>
    </row>
    <row r="305" spans="1:44" x14ac:dyDescent="0.25">
      <c r="A305">
        <v>1613</v>
      </c>
      <c r="B305" t="s">
        <v>39</v>
      </c>
      <c r="C305" t="s">
        <v>1354</v>
      </c>
      <c r="D305" t="s">
        <v>1354</v>
      </c>
      <c r="E305" t="s">
        <v>153</v>
      </c>
      <c r="F305" t="s">
        <v>153</v>
      </c>
      <c r="G305" t="s">
        <v>24</v>
      </c>
      <c r="H305" t="s">
        <v>21</v>
      </c>
      <c r="I305" t="s">
        <v>16</v>
      </c>
      <c r="J305" t="s">
        <v>20</v>
      </c>
      <c r="K305" t="s">
        <v>18</v>
      </c>
      <c r="L305" t="s">
        <v>1346</v>
      </c>
      <c r="M305" t="s">
        <v>1325</v>
      </c>
      <c r="N305">
        <v>2030</v>
      </c>
      <c r="O305" t="s">
        <v>133</v>
      </c>
      <c r="P305">
        <v>5</v>
      </c>
      <c r="Q305" t="s">
        <v>585</v>
      </c>
      <c r="R305" t="s">
        <v>17</v>
      </c>
      <c r="S305" t="str">
        <f t="shared" si="10"/>
        <v>2030-1613</v>
      </c>
      <c r="AP305">
        <v>46057.679201388892</v>
      </c>
      <c r="AR305">
        <v>46057.679201388892</v>
      </c>
    </row>
    <row r="306" spans="1:44" x14ac:dyDescent="0.25">
      <c r="A306">
        <v>1614</v>
      </c>
      <c r="B306" t="s">
        <v>39</v>
      </c>
      <c r="C306" t="s">
        <v>1355</v>
      </c>
      <c r="D306" t="s">
        <v>1355</v>
      </c>
      <c r="E306" t="s">
        <v>1356</v>
      </c>
      <c r="F306" t="s">
        <v>1356</v>
      </c>
      <c r="G306" t="s">
        <v>24</v>
      </c>
      <c r="H306" t="s">
        <v>21</v>
      </c>
      <c r="I306" t="s">
        <v>23</v>
      </c>
      <c r="J306" t="s">
        <v>20</v>
      </c>
      <c r="K306" t="s">
        <v>18</v>
      </c>
      <c r="L306" t="s">
        <v>1344</v>
      </c>
      <c r="M306" t="s">
        <v>1344</v>
      </c>
      <c r="N306">
        <v>2030</v>
      </c>
      <c r="O306" t="s">
        <v>133</v>
      </c>
      <c r="P306" t="s">
        <v>729</v>
      </c>
      <c r="Q306" t="s">
        <v>735</v>
      </c>
      <c r="R306" t="s">
        <v>17</v>
      </c>
      <c r="S306" t="str">
        <f t="shared" si="10"/>
        <v>2030-1614</v>
      </c>
      <c r="AP306">
        <v>46057.681331018517</v>
      </c>
      <c r="AR306">
        <v>46057.681331018517</v>
      </c>
    </row>
    <row r="307" spans="1:44" x14ac:dyDescent="0.25">
      <c r="A307">
        <v>1615</v>
      </c>
      <c r="B307" t="s">
        <v>39</v>
      </c>
      <c r="C307" t="s">
        <v>1357</v>
      </c>
      <c r="D307" t="s">
        <v>1357</v>
      </c>
      <c r="E307" t="s">
        <v>1356</v>
      </c>
      <c r="F307" t="s">
        <v>1356</v>
      </c>
      <c r="G307" t="s">
        <v>24</v>
      </c>
      <c r="H307" t="s">
        <v>21</v>
      </c>
      <c r="I307" t="s">
        <v>23</v>
      </c>
      <c r="J307" t="s">
        <v>27</v>
      </c>
      <c r="K307" t="s">
        <v>18</v>
      </c>
      <c r="L307" t="s">
        <v>1358</v>
      </c>
      <c r="M307" t="s">
        <v>1358</v>
      </c>
      <c r="N307">
        <v>2030</v>
      </c>
      <c r="O307" t="s">
        <v>133</v>
      </c>
      <c r="P307" t="s">
        <v>729</v>
      </c>
      <c r="Q307" t="s">
        <v>731</v>
      </c>
      <c r="R307" t="s">
        <v>17</v>
      </c>
      <c r="S307" t="str">
        <f t="shared" si="10"/>
        <v>2030-1615</v>
      </c>
      <c r="AP307">
        <v>46057.686076388891</v>
      </c>
      <c r="AR307">
        <v>46057.686076388891</v>
      </c>
    </row>
    <row r="308" spans="1:44" x14ac:dyDescent="0.25">
      <c r="A308">
        <v>1616</v>
      </c>
      <c r="B308" t="s">
        <v>39</v>
      </c>
      <c r="C308" t="s">
        <v>1359</v>
      </c>
      <c r="D308" t="s">
        <v>1359</v>
      </c>
      <c r="E308" t="s">
        <v>1300</v>
      </c>
      <c r="F308" t="s">
        <v>1268</v>
      </c>
      <c r="G308" t="s">
        <v>24</v>
      </c>
      <c r="H308" t="s">
        <v>21</v>
      </c>
      <c r="I308" t="s">
        <v>23</v>
      </c>
      <c r="J308" t="s">
        <v>20</v>
      </c>
      <c r="K308" t="s">
        <v>18</v>
      </c>
      <c r="L308" t="s">
        <v>552</v>
      </c>
      <c r="M308" t="s">
        <v>552</v>
      </c>
      <c r="N308">
        <v>2030</v>
      </c>
      <c r="O308" t="s">
        <v>133</v>
      </c>
      <c r="P308" t="s">
        <v>729</v>
      </c>
      <c r="Q308" t="s">
        <v>735</v>
      </c>
      <c r="R308" t="s">
        <v>17</v>
      </c>
      <c r="S308" t="str">
        <f t="shared" si="10"/>
        <v>2030-1616</v>
      </c>
      <c r="AP308">
        <v>46057.690486111111</v>
      </c>
      <c r="AR308">
        <v>46057.690486111111</v>
      </c>
    </row>
    <row r="309" spans="1:44" x14ac:dyDescent="0.25">
      <c r="A309">
        <v>1617</v>
      </c>
      <c r="B309" t="s">
        <v>39</v>
      </c>
      <c r="C309" t="s">
        <v>1360</v>
      </c>
      <c r="D309" t="s">
        <v>1360</v>
      </c>
      <c r="E309" t="s">
        <v>1300</v>
      </c>
      <c r="F309" t="s">
        <v>1268</v>
      </c>
      <c r="G309" t="s">
        <v>24</v>
      </c>
      <c r="H309" t="s">
        <v>21</v>
      </c>
      <c r="I309" t="s">
        <v>23</v>
      </c>
      <c r="J309" t="s">
        <v>20</v>
      </c>
      <c r="K309" t="s">
        <v>18</v>
      </c>
      <c r="L309" t="s">
        <v>1361</v>
      </c>
      <c r="M309" t="s">
        <v>1361</v>
      </c>
      <c r="N309">
        <v>2030</v>
      </c>
      <c r="O309" t="s">
        <v>133</v>
      </c>
      <c r="P309" t="s">
        <v>729</v>
      </c>
      <c r="Q309" t="s">
        <v>735</v>
      </c>
      <c r="R309" t="s">
        <v>17</v>
      </c>
      <c r="S309" t="str">
        <f t="shared" si="10"/>
        <v>2030-1617</v>
      </c>
      <c r="AP309">
        <v>46057.692708333336</v>
      </c>
      <c r="AR309">
        <v>46057.692708333336</v>
      </c>
    </row>
    <row r="310" spans="1:44" x14ac:dyDescent="0.25">
      <c r="A310">
        <v>1618</v>
      </c>
      <c r="B310" t="s">
        <v>39</v>
      </c>
      <c r="C310" t="s">
        <v>1362</v>
      </c>
      <c r="D310" t="s">
        <v>1362</v>
      </c>
      <c r="E310" t="s">
        <v>1338</v>
      </c>
      <c r="F310" t="s">
        <v>1338</v>
      </c>
      <c r="G310" t="s">
        <v>24</v>
      </c>
      <c r="H310" t="s">
        <v>21</v>
      </c>
      <c r="I310" t="s">
        <v>23</v>
      </c>
      <c r="J310" t="s">
        <v>20</v>
      </c>
      <c r="K310" t="s">
        <v>18</v>
      </c>
      <c r="L310" t="s">
        <v>804</v>
      </c>
      <c r="M310" t="s">
        <v>804</v>
      </c>
      <c r="N310">
        <v>2031</v>
      </c>
      <c r="O310" t="s">
        <v>133</v>
      </c>
      <c r="P310" t="s">
        <v>729</v>
      </c>
      <c r="Q310" t="s">
        <v>735</v>
      </c>
      <c r="R310" t="s">
        <v>17</v>
      </c>
      <c r="S310" t="str">
        <f t="shared" si="10"/>
        <v>2031-1618</v>
      </c>
      <c r="AP310">
        <v>46057.694872685184</v>
      </c>
      <c r="AR310">
        <v>46057.694872685184</v>
      </c>
    </row>
    <row r="311" spans="1:44" x14ac:dyDescent="0.25">
      <c r="A311">
        <v>1619</v>
      </c>
      <c r="B311" t="s">
        <v>39</v>
      </c>
      <c r="C311" t="s">
        <v>1363</v>
      </c>
      <c r="D311" t="s">
        <v>1363</v>
      </c>
      <c r="E311" t="s">
        <v>1364</v>
      </c>
      <c r="F311" t="s">
        <v>153</v>
      </c>
      <c r="G311" t="s">
        <v>24</v>
      </c>
      <c r="H311" t="s">
        <v>21</v>
      </c>
      <c r="I311" t="s">
        <v>16</v>
      </c>
      <c r="J311" t="s">
        <v>27</v>
      </c>
      <c r="K311" t="s">
        <v>18</v>
      </c>
      <c r="L311" t="s">
        <v>546</v>
      </c>
      <c r="M311" t="s">
        <v>564</v>
      </c>
      <c r="N311">
        <v>2031</v>
      </c>
      <c r="O311" t="s">
        <v>133</v>
      </c>
      <c r="P311">
        <v>11</v>
      </c>
      <c r="Q311" t="s">
        <v>735</v>
      </c>
      <c r="R311" t="s">
        <v>17</v>
      </c>
      <c r="S311" t="str">
        <f t="shared" si="10"/>
        <v>2031-1619</v>
      </c>
      <c r="AP311">
        <v>46057.698182870372</v>
      </c>
      <c r="AR311">
        <v>46057.698182870372</v>
      </c>
    </row>
    <row r="312" spans="1:44" x14ac:dyDescent="0.25">
      <c r="A312">
        <v>1620</v>
      </c>
      <c r="B312" t="s">
        <v>39</v>
      </c>
      <c r="C312" t="s">
        <v>1365</v>
      </c>
      <c r="D312" t="s">
        <v>1365</v>
      </c>
      <c r="E312" t="s">
        <v>1338</v>
      </c>
      <c r="F312" t="s">
        <v>1338</v>
      </c>
      <c r="G312" t="s">
        <v>24</v>
      </c>
      <c r="H312" t="s">
        <v>21</v>
      </c>
      <c r="I312" t="s">
        <v>16</v>
      </c>
      <c r="J312" t="s">
        <v>20</v>
      </c>
      <c r="K312" t="s">
        <v>18</v>
      </c>
      <c r="L312" t="s">
        <v>804</v>
      </c>
      <c r="M312" t="s">
        <v>803</v>
      </c>
      <c r="N312">
        <v>2031</v>
      </c>
      <c r="O312" t="s">
        <v>133</v>
      </c>
      <c r="P312">
        <v>3</v>
      </c>
      <c r="Q312" t="s">
        <v>735</v>
      </c>
      <c r="R312" t="s">
        <v>17</v>
      </c>
      <c r="S312" t="str">
        <f t="shared" si="10"/>
        <v>2031-1620</v>
      </c>
      <c r="AP312">
        <v>46057.700868055559</v>
      </c>
      <c r="AR312">
        <v>46057.700868055559</v>
      </c>
    </row>
    <row r="313" spans="1:44" x14ac:dyDescent="0.25">
      <c r="A313">
        <v>1621</v>
      </c>
      <c r="B313" t="s">
        <v>39</v>
      </c>
      <c r="C313" t="s">
        <v>1366</v>
      </c>
      <c r="D313" t="s">
        <v>1366</v>
      </c>
      <c r="E313" t="s">
        <v>153</v>
      </c>
      <c r="F313" t="s">
        <v>153</v>
      </c>
      <c r="G313" t="s">
        <v>24</v>
      </c>
      <c r="H313" t="s">
        <v>21</v>
      </c>
      <c r="I313" t="s">
        <v>16</v>
      </c>
      <c r="J313" t="s">
        <v>20</v>
      </c>
      <c r="K313" t="s">
        <v>18</v>
      </c>
      <c r="L313" t="s">
        <v>71</v>
      </c>
      <c r="M313" t="s">
        <v>554</v>
      </c>
      <c r="N313">
        <v>2031</v>
      </c>
      <c r="O313" t="s">
        <v>133</v>
      </c>
      <c r="P313">
        <v>15</v>
      </c>
      <c r="Q313" t="s">
        <v>731</v>
      </c>
      <c r="R313" t="s">
        <v>17</v>
      </c>
      <c r="S313" t="str">
        <f t="shared" si="10"/>
        <v>2031-1621</v>
      </c>
      <c r="AP313">
        <v>46057.704525462963</v>
      </c>
      <c r="AR313">
        <v>46057.704525462963</v>
      </c>
    </row>
    <row r="314" spans="1:44" x14ac:dyDescent="0.25">
      <c r="A314">
        <v>1622</v>
      </c>
      <c r="B314" t="s">
        <v>39</v>
      </c>
      <c r="C314" t="s">
        <v>1367</v>
      </c>
      <c r="D314" t="s">
        <v>1367</v>
      </c>
      <c r="E314" t="s">
        <v>1308</v>
      </c>
      <c r="F314" t="s">
        <v>153</v>
      </c>
      <c r="G314" t="s">
        <v>24</v>
      </c>
      <c r="H314" t="s">
        <v>21</v>
      </c>
      <c r="I314" t="s">
        <v>16</v>
      </c>
      <c r="J314" t="s">
        <v>20</v>
      </c>
      <c r="K314" t="s">
        <v>18</v>
      </c>
      <c r="L314" t="s">
        <v>550</v>
      </c>
      <c r="M314" t="s">
        <v>555</v>
      </c>
      <c r="N314">
        <v>2031</v>
      </c>
      <c r="O314" t="s">
        <v>133</v>
      </c>
      <c r="P314">
        <v>7</v>
      </c>
      <c r="Q314" t="s">
        <v>731</v>
      </c>
      <c r="R314" t="s">
        <v>17</v>
      </c>
      <c r="S314" t="str">
        <f t="shared" si="10"/>
        <v>2031-1622</v>
      </c>
      <c r="AP314">
        <v>46057.708101851851</v>
      </c>
      <c r="AR314">
        <v>46057.708101851851</v>
      </c>
    </row>
    <row r="315" spans="1:44" x14ac:dyDescent="0.25">
      <c r="A315">
        <v>1623</v>
      </c>
      <c r="B315" t="s">
        <v>39</v>
      </c>
      <c r="C315" t="s">
        <v>1368</v>
      </c>
      <c r="D315" t="s">
        <v>1368</v>
      </c>
      <c r="E315" t="s">
        <v>1308</v>
      </c>
      <c r="F315" t="s">
        <v>1268</v>
      </c>
      <c r="G315" t="s">
        <v>24</v>
      </c>
      <c r="H315" t="s">
        <v>21</v>
      </c>
      <c r="I315" t="s">
        <v>16</v>
      </c>
      <c r="J315" t="s">
        <v>20</v>
      </c>
      <c r="K315" t="s">
        <v>18</v>
      </c>
      <c r="L315" t="s">
        <v>1309</v>
      </c>
      <c r="M315" t="s">
        <v>1369</v>
      </c>
      <c r="N315">
        <v>2031</v>
      </c>
      <c r="O315" t="s">
        <v>133</v>
      </c>
      <c r="P315">
        <v>25</v>
      </c>
      <c r="Q315" t="s">
        <v>585</v>
      </c>
      <c r="R315" t="s">
        <v>17</v>
      </c>
      <c r="S315" t="str">
        <f t="shared" si="10"/>
        <v>2031-1623</v>
      </c>
      <c r="AP315">
        <v>46058.055208333331</v>
      </c>
      <c r="AR315">
        <v>46058.055208333331</v>
      </c>
    </row>
    <row r="316" spans="1:44" x14ac:dyDescent="0.25">
      <c r="A316">
        <v>1624</v>
      </c>
      <c r="B316" t="s">
        <v>39</v>
      </c>
      <c r="C316" t="s">
        <v>1370</v>
      </c>
      <c r="D316" t="s">
        <v>1370</v>
      </c>
      <c r="E316" t="s">
        <v>1308</v>
      </c>
      <c r="F316" t="s">
        <v>153</v>
      </c>
      <c r="G316" t="s">
        <v>24</v>
      </c>
      <c r="H316" t="s">
        <v>21</v>
      </c>
      <c r="I316" t="s">
        <v>16</v>
      </c>
      <c r="J316" t="s">
        <v>20</v>
      </c>
      <c r="K316" t="s">
        <v>18</v>
      </c>
      <c r="L316" t="s">
        <v>1369</v>
      </c>
      <c r="M316" t="s">
        <v>547</v>
      </c>
      <c r="N316">
        <v>2031</v>
      </c>
      <c r="O316" t="s">
        <v>133</v>
      </c>
      <c r="P316">
        <v>7.86</v>
      </c>
      <c r="Q316" t="s">
        <v>731</v>
      </c>
      <c r="R316" t="s">
        <v>17</v>
      </c>
      <c r="S316" t="str">
        <f t="shared" si="10"/>
        <v>2031-1624</v>
      </c>
      <c r="AP316">
        <v>46058.064270833333</v>
      </c>
      <c r="AR316">
        <v>46058.064270833333</v>
      </c>
    </row>
    <row r="317" spans="1:44" x14ac:dyDescent="0.25">
      <c r="A317">
        <v>1625</v>
      </c>
      <c r="B317" t="s">
        <v>39</v>
      </c>
      <c r="C317" t="s">
        <v>1371</v>
      </c>
      <c r="D317" t="s">
        <v>1371</v>
      </c>
      <c r="E317" t="s">
        <v>153</v>
      </c>
      <c r="F317" t="s">
        <v>153</v>
      </c>
      <c r="G317" t="s">
        <v>24</v>
      </c>
      <c r="H317" t="s">
        <v>21</v>
      </c>
      <c r="I317" t="s">
        <v>23</v>
      </c>
      <c r="J317" t="s">
        <v>27</v>
      </c>
      <c r="K317" t="s">
        <v>18</v>
      </c>
      <c r="L317" t="s">
        <v>547</v>
      </c>
      <c r="M317" t="s">
        <v>547</v>
      </c>
      <c r="N317">
        <v>2031</v>
      </c>
      <c r="O317" t="s">
        <v>133</v>
      </c>
      <c r="P317" t="s">
        <v>729</v>
      </c>
      <c r="Q317" t="s">
        <v>731</v>
      </c>
      <c r="R317" t="s">
        <v>24</v>
      </c>
      <c r="S317" t="str">
        <f t="shared" si="10"/>
        <v>2031-1625</v>
      </c>
      <c r="AP317">
        <v>46058.067604166667</v>
      </c>
      <c r="AR317">
        <v>46058.067604166667</v>
      </c>
    </row>
    <row r="318" spans="1:44" x14ac:dyDescent="0.25">
      <c r="A318">
        <v>1626</v>
      </c>
      <c r="B318" t="s">
        <v>39</v>
      </c>
      <c r="C318" t="s">
        <v>1372</v>
      </c>
      <c r="D318" t="s">
        <v>1372</v>
      </c>
      <c r="E318" t="s">
        <v>153</v>
      </c>
      <c r="F318" t="s">
        <v>153</v>
      </c>
      <c r="G318" t="s">
        <v>24</v>
      </c>
      <c r="H318" t="s">
        <v>21</v>
      </c>
      <c r="I318" t="s">
        <v>23</v>
      </c>
      <c r="J318" t="s">
        <v>27</v>
      </c>
      <c r="K318" t="s">
        <v>18</v>
      </c>
      <c r="L318" t="s">
        <v>564</v>
      </c>
      <c r="M318" t="s">
        <v>564</v>
      </c>
      <c r="N318">
        <v>2031</v>
      </c>
      <c r="O318" t="s">
        <v>133</v>
      </c>
      <c r="P318" t="s">
        <v>729</v>
      </c>
      <c r="Q318" t="s">
        <v>735</v>
      </c>
      <c r="R318" t="s">
        <v>17</v>
      </c>
      <c r="S318" t="str">
        <f t="shared" si="10"/>
        <v>2031-1626</v>
      </c>
      <c r="AP318">
        <v>46058.073229166665</v>
      </c>
      <c r="AR318">
        <v>46058.073229166665</v>
      </c>
    </row>
    <row r="319" spans="1:44" x14ac:dyDescent="0.25">
      <c r="A319">
        <v>1627</v>
      </c>
      <c r="B319" t="s">
        <v>39</v>
      </c>
      <c r="C319" t="s">
        <v>1373</v>
      </c>
      <c r="D319" t="s">
        <v>1373</v>
      </c>
      <c r="E319" t="s">
        <v>1300</v>
      </c>
      <c r="F319" t="s">
        <v>153</v>
      </c>
      <c r="G319" t="s">
        <v>24</v>
      </c>
      <c r="H319" t="s">
        <v>21</v>
      </c>
      <c r="I319" t="s">
        <v>23</v>
      </c>
      <c r="J319" t="s">
        <v>20</v>
      </c>
      <c r="K319" t="s">
        <v>18</v>
      </c>
      <c r="L319" t="s">
        <v>1374</v>
      </c>
      <c r="M319" t="s">
        <v>1374</v>
      </c>
      <c r="N319">
        <v>2034</v>
      </c>
      <c r="O319" t="s">
        <v>133</v>
      </c>
      <c r="P319" t="s">
        <v>729</v>
      </c>
      <c r="Q319" t="s">
        <v>735</v>
      </c>
      <c r="R319" t="s">
        <v>17</v>
      </c>
      <c r="S319" t="str">
        <f t="shared" si="10"/>
        <v>2034-1627</v>
      </c>
      <c r="AP319">
        <v>46058.103587962964</v>
      </c>
      <c r="AR319">
        <v>46058.103587962964</v>
      </c>
    </row>
    <row r="320" spans="1:44" x14ac:dyDescent="0.25">
      <c r="A320">
        <v>1628</v>
      </c>
      <c r="B320" t="s">
        <v>39</v>
      </c>
      <c r="C320" t="s">
        <v>1375</v>
      </c>
      <c r="D320" t="s">
        <v>1375</v>
      </c>
      <c r="E320" t="s">
        <v>153</v>
      </c>
      <c r="F320" t="s">
        <v>153</v>
      </c>
      <c r="G320" t="s">
        <v>24</v>
      </c>
      <c r="H320" t="s">
        <v>21</v>
      </c>
      <c r="I320" t="s">
        <v>16</v>
      </c>
      <c r="J320" t="s">
        <v>27</v>
      </c>
      <c r="K320" t="s">
        <v>18</v>
      </c>
      <c r="L320" t="s">
        <v>1344</v>
      </c>
      <c r="M320" t="s">
        <v>564</v>
      </c>
      <c r="N320">
        <v>2035</v>
      </c>
      <c r="O320" t="s">
        <v>133</v>
      </c>
      <c r="P320">
        <v>30</v>
      </c>
      <c r="Q320" t="s">
        <v>735</v>
      </c>
      <c r="R320" t="s">
        <v>17</v>
      </c>
      <c r="S320" t="str">
        <f t="shared" si="10"/>
        <v>2035-1628</v>
      </c>
      <c r="AP320">
        <v>46058.107824074075</v>
      </c>
      <c r="AR320">
        <v>46058.107824074075</v>
      </c>
    </row>
    <row r="321" spans="1:44" x14ac:dyDescent="0.25">
      <c r="A321">
        <v>1629</v>
      </c>
      <c r="B321" t="s">
        <v>39</v>
      </c>
      <c r="C321" t="s">
        <v>1376</v>
      </c>
      <c r="D321" t="s">
        <v>1376</v>
      </c>
      <c r="E321" t="s">
        <v>153</v>
      </c>
      <c r="F321" t="s">
        <v>153</v>
      </c>
      <c r="G321" t="s">
        <v>24</v>
      </c>
      <c r="H321" t="s">
        <v>21</v>
      </c>
      <c r="I321" t="s">
        <v>23</v>
      </c>
      <c r="J321" t="s">
        <v>27</v>
      </c>
      <c r="K321" t="s">
        <v>18</v>
      </c>
      <c r="L321" t="s">
        <v>1344</v>
      </c>
      <c r="M321" t="s">
        <v>1344</v>
      </c>
      <c r="N321">
        <v>2035</v>
      </c>
      <c r="O321" t="s">
        <v>133</v>
      </c>
      <c r="P321" t="s">
        <v>729</v>
      </c>
      <c r="Q321" t="s">
        <v>735</v>
      </c>
      <c r="R321" t="s">
        <v>17</v>
      </c>
      <c r="S321" t="str">
        <f t="shared" si="10"/>
        <v>2035-1629</v>
      </c>
      <c r="AP321">
        <v>46058.109803240739</v>
      </c>
      <c r="AR321">
        <v>46058.109803240739</v>
      </c>
    </row>
    <row r="322" spans="1:44" x14ac:dyDescent="0.25">
      <c r="A322">
        <v>1630</v>
      </c>
      <c r="B322" t="s">
        <v>61</v>
      </c>
      <c r="C322" t="s">
        <v>1377</v>
      </c>
      <c r="D322" t="s">
        <v>1378</v>
      </c>
      <c r="E322" t="s">
        <v>1379</v>
      </c>
      <c r="F322" t="s">
        <v>530</v>
      </c>
      <c r="G322" t="s">
        <v>17</v>
      </c>
      <c r="H322" t="s">
        <v>536</v>
      </c>
      <c r="I322" t="s">
        <v>19</v>
      </c>
      <c r="J322" t="s">
        <v>20</v>
      </c>
      <c r="K322" t="s">
        <v>18</v>
      </c>
      <c r="L322" t="s">
        <v>1380</v>
      </c>
      <c r="M322" t="s">
        <v>892</v>
      </c>
      <c r="N322">
        <v>2027</v>
      </c>
      <c r="O322" t="s">
        <v>133</v>
      </c>
      <c r="P322" t="s">
        <v>21</v>
      </c>
      <c r="Q322" t="s">
        <v>731</v>
      </c>
      <c r="R322" t="s">
        <v>17</v>
      </c>
      <c r="S322" t="str">
        <f t="shared" si="10"/>
        <v>2027-1630</v>
      </c>
      <c r="AP322">
        <v>46055.366481481484</v>
      </c>
      <c r="AR322">
        <v>46055.365763888891</v>
      </c>
    </row>
    <row r="323" spans="1:44" x14ac:dyDescent="0.25">
      <c r="A323">
        <v>1631</v>
      </c>
      <c r="B323" t="s">
        <v>61</v>
      </c>
      <c r="C323" t="s">
        <v>1381</v>
      </c>
      <c r="D323" t="s">
        <v>1382</v>
      </c>
      <c r="E323" t="s">
        <v>1383</v>
      </c>
      <c r="F323" t="s">
        <v>530</v>
      </c>
      <c r="G323" t="s">
        <v>17</v>
      </c>
      <c r="H323" t="s">
        <v>536</v>
      </c>
      <c r="I323" t="s">
        <v>19</v>
      </c>
      <c r="J323" t="s">
        <v>27</v>
      </c>
      <c r="K323" t="s">
        <v>18</v>
      </c>
      <c r="L323" t="s">
        <v>893</v>
      </c>
      <c r="M323" t="s">
        <v>21</v>
      </c>
      <c r="N323">
        <v>2027</v>
      </c>
      <c r="O323" t="s">
        <v>133</v>
      </c>
      <c r="P323" t="s">
        <v>21</v>
      </c>
      <c r="Q323" t="s">
        <v>731</v>
      </c>
      <c r="R323" t="s">
        <v>17</v>
      </c>
      <c r="S323" t="str">
        <f t="shared" si="10"/>
        <v>2027-1631</v>
      </c>
      <c r="AP323">
        <v>46055.36928240741</v>
      </c>
      <c r="AR323">
        <v>46055.36928240741</v>
      </c>
    </row>
    <row r="324" spans="1:44" x14ac:dyDescent="0.25">
      <c r="A324">
        <v>1632</v>
      </c>
      <c r="B324" t="s">
        <v>61</v>
      </c>
      <c r="C324" t="s">
        <v>1384</v>
      </c>
      <c r="D324" t="s">
        <v>1385</v>
      </c>
      <c r="E324" t="s">
        <v>1383</v>
      </c>
      <c r="F324" t="s">
        <v>530</v>
      </c>
      <c r="G324" t="s">
        <v>17</v>
      </c>
      <c r="H324" t="s">
        <v>536</v>
      </c>
      <c r="I324" t="s">
        <v>19</v>
      </c>
      <c r="J324" t="s">
        <v>20</v>
      </c>
      <c r="K324" t="s">
        <v>18</v>
      </c>
      <c r="L324" t="s">
        <v>1386</v>
      </c>
      <c r="M324" t="s">
        <v>21</v>
      </c>
      <c r="N324">
        <v>2026</v>
      </c>
      <c r="O324" t="s">
        <v>133</v>
      </c>
      <c r="P324" t="s">
        <v>21</v>
      </c>
      <c r="Q324" t="s">
        <v>731</v>
      </c>
      <c r="R324" t="s">
        <v>17</v>
      </c>
      <c r="S324" t="str">
        <f t="shared" si="10"/>
        <v>2026-1632</v>
      </c>
      <c r="AP324">
        <v>46055.371655092589</v>
      </c>
      <c r="AR324">
        <v>46055.371655092589</v>
      </c>
    </row>
    <row r="325" spans="1:44" x14ac:dyDescent="0.25">
      <c r="A325">
        <v>1634</v>
      </c>
      <c r="B325" t="s">
        <v>61</v>
      </c>
      <c r="C325" t="s">
        <v>1388</v>
      </c>
      <c r="D325" t="s">
        <v>1389</v>
      </c>
      <c r="E325" t="s">
        <v>1390</v>
      </c>
      <c r="F325" t="s">
        <v>75</v>
      </c>
      <c r="G325" t="s">
        <v>24</v>
      </c>
      <c r="H325" t="s">
        <v>21</v>
      </c>
      <c r="I325" t="s">
        <v>19</v>
      </c>
      <c r="J325" t="s">
        <v>27</v>
      </c>
      <c r="K325" t="s">
        <v>18</v>
      </c>
      <c r="L325" t="s">
        <v>1391</v>
      </c>
      <c r="M325" t="s">
        <v>1392</v>
      </c>
      <c r="N325">
        <v>2028</v>
      </c>
      <c r="O325" t="s">
        <v>133</v>
      </c>
      <c r="P325" t="s">
        <v>1393</v>
      </c>
      <c r="Q325" t="s">
        <v>731</v>
      </c>
      <c r="R325" t="s">
        <v>17</v>
      </c>
      <c r="S325" t="str">
        <f t="shared" si="10"/>
        <v>2028-1634</v>
      </c>
      <c r="AP325">
        <v>46056.317361111112</v>
      </c>
      <c r="AR325">
        <v>46055.414664351854</v>
      </c>
    </row>
    <row r="326" spans="1:44" x14ac:dyDescent="0.25">
      <c r="A326">
        <v>1635</v>
      </c>
      <c r="B326" t="s">
        <v>61</v>
      </c>
      <c r="C326" t="s">
        <v>1394</v>
      </c>
      <c r="D326" t="s">
        <v>1395</v>
      </c>
      <c r="E326" t="s">
        <v>1396</v>
      </c>
      <c r="F326" t="s">
        <v>1387</v>
      </c>
      <c r="G326" t="s">
        <v>24</v>
      </c>
      <c r="H326" t="s">
        <v>21</v>
      </c>
      <c r="I326" t="s">
        <v>16</v>
      </c>
      <c r="J326" t="s">
        <v>27</v>
      </c>
      <c r="K326" t="s">
        <v>18</v>
      </c>
      <c r="L326" t="s">
        <v>534</v>
      </c>
      <c r="M326" t="s">
        <v>1397</v>
      </c>
      <c r="N326">
        <v>2029</v>
      </c>
      <c r="O326" t="s">
        <v>133</v>
      </c>
      <c r="P326" t="s">
        <v>1398</v>
      </c>
      <c r="Q326" t="s">
        <v>731</v>
      </c>
      <c r="R326" t="s">
        <v>17</v>
      </c>
      <c r="S326" t="str">
        <f t="shared" si="10"/>
        <v>2029-1635</v>
      </c>
      <c r="AP326">
        <v>46056.316828703704</v>
      </c>
      <c r="AR326">
        <v>46055.498287037037</v>
      </c>
    </row>
    <row r="327" spans="1:44" x14ac:dyDescent="0.25">
      <c r="A327">
        <v>1636</v>
      </c>
      <c r="B327" t="s">
        <v>65</v>
      </c>
      <c r="C327" t="s">
        <v>1399</v>
      </c>
      <c r="D327" t="s">
        <v>1400</v>
      </c>
      <c r="E327" t="s">
        <v>611</v>
      </c>
      <c r="F327" t="s">
        <v>296</v>
      </c>
      <c r="G327" t="s">
        <v>17</v>
      </c>
      <c r="H327" t="s">
        <v>612</v>
      </c>
      <c r="I327" t="s">
        <v>16</v>
      </c>
      <c r="J327" t="s">
        <v>27</v>
      </c>
      <c r="K327" t="s">
        <v>18</v>
      </c>
      <c r="L327" t="s">
        <v>1401</v>
      </c>
      <c r="M327" t="s">
        <v>1402</v>
      </c>
      <c r="N327">
        <v>2026</v>
      </c>
      <c r="O327" t="s">
        <v>150</v>
      </c>
      <c r="P327" t="s">
        <v>1403</v>
      </c>
      <c r="Q327" t="s">
        <v>730</v>
      </c>
      <c r="R327" t="s">
        <v>17</v>
      </c>
      <c r="S327" t="str">
        <f t="shared" si="10"/>
        <v>2026-1636</v>
      </c>
      <c r="AP327">
        <v>46055.66070601852</v>
      </c>
      <c r="AR327">
        <v>46055.66070601852</v>
      </c>
    </row>
    <row r="328" spans="1:44" x14ac:dyDescent="0.25">
      <c r="A328">
        <v>1637</v>
      </c>
      <c r="B328" t="s">
        <v>65</v>
      </c>
      <c r="C328" t="s">
        <v>1404</v>
      </c>
      <c r="D328" t="s">
        <v>1400</v>
      </c>
      <c r="E328" t="s">
        <v>611</v>
      </c>
      <c r="F328" t="s">
        <v>296</v>
      </c>
      <c r="G328" t="s">
        <v>17</v>
      </c>
      <c r="H328" t="s">
        <v>612</v>
      </c>
      <c r="I328" t="s">
        <v>16</v>
      </c>
      <c r="J328" t="s">
        <v>27</v>
      </c>
      <c r="K328" t="s">
        <v>728</v>
      </c>
      <c r="L328" t="s">
        <v>1402</v>
      </c>
      <c r="M328" t="s">
        <v>1405</v>
      </c>
      <c r="N328">
        <v>2025</v>
      </c>
      <c r="O328" t="s">
        <v>150</v>
      </c>
      <c r="P328" t="s">
        <v>1403</v>
      </c>
      <c r="Q328" t="s">
        <v>730</v>
      </c>
      <c r="R328" t="s">
        <v>17</v>
      </c>
      <c r="S328" t="str">
        <f t="shared" si="10"/>
        <v>2025-1637</v>
      </c>
      <c r="AP328">
        <v>46055.663321759261</v>
      </c>
      <c r="AR328">
        <v>46055.663321759261</v>
      </c>
    </row>
    <row r="329" spans="1:44" x14ac:dyDescent="0.25">
      <c r="A329">
        <v>1638</v>
      </c>
      <c r="B329" t="s">
        <v>65</v>
      </c>
      <c r="C329" t="s">
        <v>1406</v>
      </c>
      <c r="D329" t="s">
        <v>1400</v>
      </c>
      <c r="E329" t="s">
        <v>611</v>
      </c>
      <c r="F329" t="s">
        <v>296</v>
      </c>
      <c r="G329" t="s">
        <v>17</v>
      </c>
      <c r="H329" t="s">
        <v>612</v>
      </c>
      <c r="I329" t="s">
        <v>16</v>
      </c>
      <c r="J329" t="s">
        <v>27</v>
      </c>
      <c r="K329" t="s">
        <v>18</v>
      </c>
      <c r="L329" t="s">
        <v>1405</v>
      </c>
      <c r="M329" t="s">
        <v>614</v>
      </c>
      <c r="N329">
        <v>2027</v>
      </c>
      <c r="O329" t="s">
        <v>150</v>
      </c>
      <c r="P329" t="s">
        <v>1403</v>
      </c>
      <c r="Q329" t="s">
        <v>730</v>
      </c>
      <c r="R329" t="s">
        <v>17</v>
      </c>
      <c r="S329" t="str">
        <f t="shared" si="10"/>
        <v>2027-1638</v>
      </c>
      <c r="AP329">
        <v>46055.665648148148</v>
      </c>
      <c r="AR329">
        <v>46055.665648148148</v>
      </c>
    </row>
    <row r="330" spans="1:44" x14ac:dyDescent="0.25">
      <c r="A330">
        <v>1639</v>
      </c>
      <c r="B330" t="s">
        <v>65</v>
      </c>
      <c r="C330" t="s">
        <v>1407</v>
      </c>
      <c r="D330" t="s">
        <v>1408</v>
      </c>
      <c r="E330" t="s">
        <v>1409</v>
      </c>
      <c r="F330" t="s">
        <v>153</v>
      </c>
      <c r="G330" t="s">
        <v>24</v>
      </c>
      <c r="H330" t="s">
        <v>21</v>
      </c>
      <c r="I330" t="s">
        <v>19</v>
      </c>
      <c r="J330" t="s">
        <v>27</v>
      </c>
      <c r="K330" t="s">
        <v>18</v>
      </c>
      <c r="L330" t="s">
        <v>1410</v>
      </c>
      <c r="M330" t="s">
        <v>1410</v>
      </c>
      <c r="N330">
        <v>2027</v>
      </c>
      <c r="O330" t="s">
        <v>150</v>
      </c>
      <c r="P330" t="s">
        <v>729</v>
      </c>
      <c r="Q330" t="s">
        <v>730</v>
      </c>
      <c r="R330" t="s">
        <v>17</v>
      </c>
      <c r="S330" t="str">
        <f t="shared" si="10"/>
        <v>2027-1639</v>
      </c>
      <c r="AP330">
        <v>46055.669421296298</v>
      </c>
      <c r="AR330">
        <v>46055.669421296298</v>
      </c>
    </row>
    <row r="331" spans="1:44" x14ac:dyDescent="0.25">
      <c r="A331">
        <v>1640</v>
      </c>
      <c r="B331" t="s">
        <v>65</v>
      </c>
      <c r="C331" t="s">
        <v>1411</v>
      </c>
      <c r="D331" t="s">
        <v>1412</v>
      </c>
      <c r="E331" t="s">
        <v>1409</v>
      </c>
      <c r="F331" t="s">
        <v>153</v>
      </c>
      <c r="G331" t="s">
        <v>24</v>
      </c>
      <c r="H331" t="s">
        <v>21</v>
      </c>
      <c r="I331" t="s">
        <v>19</v>
      </c>
      <c r="J331" t="s">
        <v>27</v>
      </c>
      <c r="K331" t="s">
        <v>18</v>
      </c>
      <c r="L331" t="s">
        <v>1405</v>
      </c>
      <c r="M331" t="s">
        <v>1405</v>
      </c>
      <c r="N331">
        <v>2027</v>
      </c>
      <c r="O331" t="s">
        <v>150</v>
      </c>
      <c r="P331" t="s">
        <v>729</v>
      </c>
      <c r="Q331" t="s">
        <v>730</v>
      </c>
      <c r="R331" t="s">
        <v>17</v>
      </c>
      <c r="S331" t="str">
        <f t="shared" ref="S331:S362" si="11">N331&amp;"-"&amp;A331</f>
        <v>2027-1640</v>
      </c>
      <c r="AP331">
        <v>46056.367164351854</v>
      </c>
      <c r="AR331">
        <v>46055.671087962961</v>
      </c>
    </row>
    <row r="332" spans="1:44" x14ac:dyDescent="0.25">
      <c r="A332">
        <v>1641</v>
      </c>
      <c r="B332" t="s">
        <v>65</v>
      </c>
      <c r="C332" t="s">
        <v>1413</v>
      </c>
      <c r="D332" t="s">
        <v>1414</v>
      </c>
      <c r="E332" t="s">
        <v>1415</v>
      </c>
      <c r="F332" t="s">
        <v>153</v>
      </c>
      <c r="G332" t="s">
        <v>24</v>
      </c>
      <c r="H332" t="s">
        <v>21</v>
      </c>
      <c r="I332" t="s">
        <v>16</v>
      </c>
      <c r="J332" t="s">
        <v>30</v>
      </c>
      <c r="K332" t="s">
        <v>18</v>
      </c>
      <c r="L332" t="s">
        <v>1416</v>
      </c>
      <c r="M332" t="s">
        <v>1417</v>
      </c>
      <c r="N332">
        <v>2027</v>
      </c>
      <c r="O332" t="s">
        <v>150</v>
      </c>
      <c r="P332" t="s">
        <v>22</v>
      </c>
      <c r="Q332" t="s">
        <v>730</v>
      </c>
      <c r="R332" t="s">
        <v>17</v>
      </c>
      <c r="S332" t="str">
        <f t="shared" si="11"/>
        <v>2027-1641</v>
      </c>
      <c r="AP332">
        <v>46055.677986111114</v>
      </c>
      <c r="AR332">
        <v>46055.677986111114</v>
      </c>
    </row>
    <row r="333" spans="1:44" x14ac:dyDescent="0.25">
      <c r="A333">
        <v>1642</v>
      </c>
      <c r="B333" t="s">
        <v>65</v>
      </c>
      <c r="C333" t="s">
        <v>1418</v>
      </c>
      <c r="D333" t="s">
        <v>1419</v>
      </c>
      <c r="E333" t="s">
        <v>1420</v>
      </c>
      <c r="F333" t="s">
        <v>153</v>
      </c>
      <c r="G333" t="s">
        <v>24</v>
      </c>
      <c r="H333" t="s">
        <v>21</v>
      </c>
      <c r="I333" t="s">
        <v>16</v>
      </c>
      <c r="J333" t="s">
        <v>30</v>
      </c>
      <c r="K333" t="s">
        <v>18</v>
      </c>
      <c r="L333" t="s">
        <v>1421</v>
      </c>
      <c r="M333" t="s">
        <v>1422</v>
      </c>
      <c r="N333">
        <v>2027</v>
      </c>
      <c r="O333" t="s">
        <v>150</v>
      </c>
      <c r="P333" t="s">
        <v>22</v>
      </c>
      <c r="Q333" t="s">
        <v>730</v>
      </c>
      <c r="R333" t="s">
        <v>17</v>
      </c>
      <c r="S333" t="str">
        <f t="shared" si="11"/>
        <v>2027-1642</v>
      </c>
      <c r="AP333">
        <v>46056.367696759262</v>
      </c>
      <c r="AR333">
        <v>46055.679722222223</v>
      </c>
    </row>
    <row r="334" spans="1:44" x14ac:dyDescent="0.25">
      <c r="A334">
        <v>1643</v>
      </c>
      <c r="B334" t="s">
        <v>65</v>
      </c>
      <c r="C334" t="s">
        <v>1423</v>
      </c>
      <c r="D334" t="s">
        <v>1424</v>
      </c>
      <c r="E334" t="s">
        <v>1409</v>
      </c>
      <c r="F334" t="s">
        <v>153</v>
      </c>
      <c r="G334" t="s">
        <v>24</v>
      </c>
      <c r="H334" t="s">
        <v>21</v>
      </c>
      <c r="I334" t="s">
        <v>16</v>
      </c>
      <c r="J334" t="s">
        <v>30</v>
      </c>
      <c r="K334" t="s">
        <v>18</v>
      </c>
      <c r="L334" t="s">
        <v>1425</v>
      </c>
      <c r="M334" t="s">
        <v>1426</v>
      </c>
      <c r="N334">
        <v>2027</v>
      </c>
      <c r="O334" t="s">
        <v>150</v>
      </c>
      <c r="P334" t="s">
        <v>22</v>
      </c>
      <c r="Q334" t="s">
        <v>730</v>
      </c>
      <c r="R334" t="s">
        <v>17</v>
      </c>
      <c r="S334" t="str">
        <f t="shared" si="11"/>
        <v>2027-1643</v>
      </c>
      <c r="AP334">
        <v>46055.681076388886</v>
      </c>
      <c r="AR334">
        <v>46055.681076388886</v>
      </c>
    </row>
    <row r="335" spans="1:44" x14ac:dyDescent="0.25">
      <c r="A335">
        <v>1644</v>
      </c>
      <c r="B335" t="s">
        <v>65</v>
      </c>
      <c r="C335" t="s">
        <v>1427</v>
      </c>
      <c r="D335" t="s">
        <v>1428</v>
      </c>
      <c r="E335" t="s">
        <v>1415</v>
      </c>
      <c r="F335" t="s">
        <v>153</v>
      </c>
      <c r="G335" t="s">
        <v>24</v>
      </c>
      <c r="H335" t="s">
        <v>21</v>
      </c>
      <c r="I335" t="s">
        <v>19</v>
      </c>
      <c r="J335" t="s">
        <v>20</v>
      </c>
      <c r="K335" t="s">
        <v>18</v>
      </c>
      <c r="L335" t="s">
        <v>1429</v>
      </c>
      <c r="M335" t="s">
        <v>1429</v>
      </c>
      <c r="N335">
        <v>2029</v>
      </c>
      <c r="O335" t="s">
        <v>150</v>
      </c>
      <c r="P335" t="s">
        <v>729</v>
      </c>
      <c r="Q335" t="s">
        <v>730</v>
      </c>
      <c r="R335" t="s">
        <v>17</v>
      </c>
      <c r="S335" t="str">
        <f t="shared" si="11"/>
        <v>2029-1644</v>
      </c>
      <c r="AP335">
        <v>46056.395821759259</v>
      </c>
      <c r="AR335">
        <v>46055.683148148149</v>
      </c>
    </row>
    <row r="336" spans="1:44" x14ac:dyDescent="0.25">
      <c r="A336">
        <v>1645</v>
      </c>
      <c r="B336" t="s">
        <v>65</v>
      </c>
      <c r="C336" t="s">
        <v>1430</v>
      </c>
      <c r="D336" t="s">
        <v>1431</v>
      </c>
      <c r="E336" t="s">
        <v>618</v>
      </c>
      <c r="F336" t="s">
        <v>153</v>
      </c>
      <c r="G336" t="s">
        <v>24</v>
      </c>
      <c r="H336" t="s">
        <v>21</v>
      </c>
      <c r="I336" t="s">
        <v>19</v>
      </c>
      <c r="J336" t="s">
        <v>30</v>
      </c>
      <c r="K336" t="s">
        <v>18</v>
      </c>
      <c r="L336" t="s">
        <v>1422</v>
      </c>
      <c r="M336" t="s">
        <v>1422</v>
      </c>
      <c r="N336">
        <v>2028</v>
      </c>
      <c r="O336" t="s">
        <v>150</v>
      </c>
      <c r="P336" t="s">
        <v>729</v>
      </c>
      <c r="Q336" t="s">
        <v>730</v>
      </c>
      <c r="R336" t="s">
        <v>17</v>
      </c>
      <c r="S336" t="str">
        <f t="shared" si="11"/>
        <v>2028-1645</v>
      </c>
      <c r="AP336">
        <v>46055.686643518522</v>
      </c>
      <c r="AR336">
        <v>46055.686643518522</v>
      </c>
    </row>
    <row r="337" spans="1:44" x14ac:dyDescent="0.25">
      <c r="A337">
        <v>1646</v>
      </c>
      <c r="B337" t="s">
        <v>65</v>
      </c>
      <c r="C337" t="s">
        <v>1432</v>
      </c>
      <c r="D337" t="s">
        <v>1433</v>
      </c>
      <c r="E337" t="s">
        <v>618</v>
      </c>
      <c r="F337" t="s">
        <v>153</v>
      </c>
      <c r="G337" t="s">
        <v>24</v>
      </c>
      <c r="H337" t="s">
        <v>21</v>
      </c>
      <c r="I337" t="s">
        <v>16</v>
      </c>
      <c r="J337" t="s">
        <v>20</v>
      </c>
      <c r="K337" t="s">
        <v>18</v>
      </c>
      <c r="L337" t="s">
        <v>897</v>
      </c>
      <c r="M337" t="s">
        <v>1434</v>
      </c>
      <c r="N337">
        <v>2029</v>
      </c>
      <c r="O337" t="s">
        <v>150</v>
      </c>
      <c r="P337" t="s">
        <v>22</v>
      </c>
      <c r="Q337" t="s">
        <v>730</v>
      </c>
      <c r="R337" t="s">
        <v>17</v>
      </c>
      <c r="S337" t="str">
        <f t="shared" si="11"/>
        <v>2029-1646</v>
      </c>
      <c r="AP337">
        <v>46055.688750000001</v>
      </c>
      <c r="AR337">
        <v>46055.688750000001</v>
      </c>
    </row>
    <row r="338" spans="1:44" x14ac:dyDescent="0.25">
      <c r="A338">
        <v>1647</v>
      </c>
      <c r="B338" t="s">
        <v>65</v>
      </c>
      <c r="C338" t="s">
        <v>1435</v>
      </c>
      <c r="D338" t="s">
        <v>1436</v>
      </c>
      <c r="E338" t="s">
        <v>1409</v>
      </c>
      <c r="F338" t="s">
        <v>153</v>
      </c>
      <c r="G338" t="s">
        <v>24</v>
      </c>
      <c r="H338" t="s">
        <v>21</v>
      </c>
      <c r="I338" t="s">
        <v>19</v>
      </c>
      <c r="J338" t="s">
        <v>27</v>
      </c>
      <c r="K338" t="s">
        <v>18</v>
      </c>
      <c r="L338" t="s">
        <v>1421</v>
      </c>
      <c r="M338" t="s">
        <v>1421</v>
      </c>
      <c r="N338">
        <v>2029</v>
      </c>
      <c r="O338" t="s">
        <v>150</v>
      </c>
      <c r="P338" t="s">
        <v>729</v>
      </c>
      <c r="Q338" t="s">
        <v>730</v>
      </c>
      <c r="R338" t="s">
        <v>17</v>
      </c>
      <c r="S338" t="str">
        <f t="shared" si="11"/>
        <v>2029-1647</v>
      </c>
      <c r="AP338">
        <v>46056.35796296296</v>
      </c>
      <c r="AR338">
        <v>46056.35796296296</v>
      </c>
    </row>
    <row r="339" spans="1:44" x14ac:dyDescent="0.25">
      <c r="A339">
        <v>1648</v>
      </c>
      <c r="B339" t="s">
        <v>65</v>
      </c>
      <c r="C339" t="s">
        <v>1437</v>
      </c>
      <c r="D339" t="s">
        <v>1438</v>
      </c>
      <c r="E339" t="s">
        <v>1409</v>
      </c>
      <c r="F339" t="s">
        <v>153</v>
      </c>
      <c r="G339" t="s">
        <v>24</v>
      </c>
      <c r="H339" t="s">
        <v>21</v>
      </c>
      <c r="I339" t="s">
        <v>19</v>
      </c>
      <c r="J339" t="s">
        <v>27</v>
      </c>
      <c r="K339" t="s">
        <v>18</v>
      </c>
      <c r="L339" t="s">
        <v>1439</v>
      </c>
      <c r="M339" t="s">
        <v>1439</v>
      </c>
      <c r="N339">
        <v>2029</v>
      </c>
      <c r="O339" t="s">
        <v>150</v>
      </c>
      <c r="P339" t="s">
        <v>729</v>
      </c>
      <c r="Q339" t="s">
        <v>730</v>
      </c>
      <c r="R339" t="s">
        <v>17</v>
      </c>
      <c r="S339" t="str">
        <f t="shared" si="11"/>
        <v>2029-1648</v>
      </c>
      <c r="AP339">
        <v>46056.359560185185</v>
      </c>
      <c r="AR339">
        <v>46056.359560185185</v>
      </c>
    </row>
    <row r="340" spans="1:44" x14ac:dyDescent="0.25">
      <c r="A340">
        <v>1649</v>
      </c>
      <c r="B340" t="s">
        <v>65</v>
      </c>
      <c r="C340" t="s">
        <v>1440</v>
      </c>
      <c r="D340" t="s">
        <v>1441</v>
      </c>
      <c r="E340" t="s">
        <v>618</v>
      </c>
      <c r="F340" t="s">
        <v>153</v>
      </c>
      <c r="G340" t="s">
        <v>24</v>
      </c>
      <c r="H340" t="s">
        <v>21</v>
      </c>
      <c r="I340" t="s">
        <v>16</v>
      </c>
      <c r="J340" t="s">
        <v>20</v>
      </c>
      <c r="K340" t="s">
        <v>18</v>
      </c>
      <c r="L340" t="s">
        <v>1425</v>
      </c>
      <c r="M340" t="s">
        <v>1442</v>
      </c>
      <c r="N340">
        <v>2031</v>
      </c>
      <c r="O340" t="s">
        <v>150</v>
      </c>
      <c r="P340" t="s">
        <v>22</v>
      </c>
      <c r="Q340" t="s">
        <v>730</v>
      </c>
      <c r="R340" t="s">
        <v>17</v>
      </c>
      <c r="S340" t="str">
        <f t="shared" si="11"/>
        <v>2031-1649</v>
      </c>
      <c r="AP340">
        <v>46056.36414351852</v>
      </c>
      <c r="AR340">
        <v>46056.36414351852</v>
      </c>
    </row>
    <row r="341" spans="1:44" x14ac:dyDescent="0.25">
      <c r="A341">
        <v>1650</v>
      </c>
      <c r="B341" t="s">
        <v>65</v>
      </c>
      <c r="C341" t="s">
        <v>1443</v>
      </c>
      <c r="D341" t="s">
        <v>1444</v>
      </c>
      <c r="E341" t="s">
        <v>618</v>
      </c>
      <c r="F341" t="s">
        <v>153</v>
      </c>
      <c r="G341" t="s">
        <v>24</v>
      </c>
      <c r="H341" t="s">
        <v>21</v>
      </c>
      <c r="I341" t="s">
        <v>16</v>
      </c>
      <c r="J341" t="s">
        <v>30</v>
      </c>
      <c r="K341" t="s">
        <v>18</v>
      </c>
      <c r="L341" t="s">
        <v>1422</v>
      </c>
      <c r="M341" t="s">
        <v>1429</v>
      </c>
      <c r="N341">
        <v>2027</v>
      </c>
      <c r="O341" t="s">
        <v>150</v>
      </c>
      <c r="P341" t="s">
        <v>22</v>
      </c>
      <c r="Q341" t="s">
        <v>730</v>
      </c>
      <c r="R341" t="s">
        <v>17</v>
      </c>
      <c r="S341" t="str">
        <f t="shared" si="11"/>
        <v>2027-1650</v>
      </c>
      <c r="AP341">
        <v>46056.366435185184</v>
      </c>
      <c r="AR341">
        <v>46056.366435185184</v>
      </c>
    </row>
    <row r="342" spans="1:44" x14ac:dyDescent="0.25">
      <c r="A342">
        <v>1651</v>
      </c>
      <c r="B342" t="s">
        <v>65</v>
      </c>
      <c r="C342" t="s">
        <v>1445</v>
      </c>
      <c r="D342" t="s">
        <v>1446</v>
      </c>
      <c r="E342" t="s">
        <v>1447</v>
      </c>
      <c r="F342" t="s">
        <v>153</v>
      </c>
      <c r="G342" t="s">
        <v>24</v>
      </c>
      <c r="H342" t="s">
        <v>21</v>
      </c>
      <c r="I342" t="s">
        <v>19</v>
      </c>
      <c r="J342" t="s">
        <v>27</v>
      </c>
      <c r="K342" t="s">
        <v>18</v>
      </c>
      <c r="L342" t="s">
        <v>1405</v>
      </c>
      <c r="M342" t="s">
        <v>916</v>
      </c>
      <c r="N342">
        <v>2028</v>
      </c>
      <c r="O342" t="s">
        <v>150</v>
      </c>
      <c r="P342" t="s">
        <v>729</v>
      </c>
      <c r="Q342" t="s">
        <v>730</v>
      </c>
      <c r="R342" t="s">
        <v>17</v>
      </c>
      <c r="S342" t="str">
        <f t="shared" si="11"/>
        <v>2028-1651</v>
      </c>
      <c r="AP342">
        <v>46056.373541666668</v>
      </c>
      <c r="AR342">
        <v>46056.371238425927</v>
      </c>
    </row>
    <row r="343" spans="1:44" x14ac:dyDescent="0.25">
      <c r="A343">
        <v>1652</v>
      </c>
      <c r="B343" t="s">
        <v>65</v>
      </c>
      <c r="C343" t="s">
        <v>1448</v>
      </c>
      <c r="D343" t="s">
        <v>1441</v>
      </c>
      <c r="E343" t="s">
        <v>618</v>
      </c>
      <c r="F343" t="s">
        <v>153</v>
      </c>
      <c r="G343" t="s">
        <v>24</v>
      </c>
      <c r="H343" t="s">
        <v>21</v>
      </c>
      <c r="I343" t="s">
        <v>16</v>
      </c>
      <c r="J343" t="s">
        <v>20</v>
      </c>
      <c r="K343" t="s">
        <v>18</v>
      </c>
      <c r="L343" t="s">
        <v>1429</v>
      </c>
      <c r="M343" t="s">
        <v>1449</v>
      </c>
      <c r="N343">
        <v>2029</v>
      </c>
      <c r="O343" t="s">
        <v>150</v>
      </c>
      <c r="P343" t="s">
        <v>22</v>
      </c>
      <c r="Q343" t="s">
        <v>730</v>
      </c>
      <c r="R343" t="s">
        <v>17</v>
      </c>
      <c r="S343" t="str">
        <f t="shared" si="11"/>
        <v>2029-1652</v>
      </c>
      <c r="AP343">
        <v>46056.37300925926</v>
      </c>
      <c r="AR343">
        <v>46056.37300925926</v>
      </c>
    </row>
    <row r="344" spans="1:44" x14ac:dyDescent="0.25">
      <c r="A344">
        <v>1653</v>
      </c>
      <c r="B344" t="s">
        <v>65</v>
      </c>
      <c r="C344" t="s">
        <v>1450</v>
      </c>
      <c r="D344" t="s">
        <v>1444</v>
      </c>
      <c r="E344" t="s">
        <v>618</v>
      </c>
      <c r="F344" t="s">
        <v>153</v>
      </c>
      <c r="G344" t="s">
        <v>24</v>
      </c>
      <c r="H344" t="s">
        <v>21</v>
      </c>
      <c r="I344" t="s">
        <v>16</v>
      </c>
      <c r="J344" t="s">
        <v>30</v>
      </c>
      <c r="K344" t="s">
        <v>18</v>
      </c>
      <c r="L344" t="s">
        <v>1421</v>
      </c>
      <c r="M344" t="s">
        <v>1451</v>
      </c>
      <c r="N344">
        <v>2030</v>
      </c>
      <c r="O344" t="s">
        <v>150</v>
      </c>
      <c r="P344" t="s">
        <v>22</v>
      </c>
      <c r="Q344" t="s">
        <v>730</v>
      </c>
      <c r="R344" t="s">
        <v>17</v>
      </c>
      <c r="S344" t="str">
        <f t="shared" si="11"/>
        <v>2030-1653</v>
      </c>
      <c r="AP344">
        <v>46056.378055555557</v>
      </c>
      <c r="AR344">
        <v>46056.378055555557</v>
      </c>
    </row>
    <row r="345" spans="1:44" x14ac:dyDescent="0.25">
      <c r="A345">
        <v>1654</v>
      </c>
      <c r="B345" t="s">
        <v>65</v>
      </c>
      <c r="C345" t="s">
        <v>1452</v>
      </c>
      <c r="D345" t="s">
        <v>1453</v>
      </c>
      <c r="E345" t="s">
        <v>618</v>
      </c>
      <c r="F345" t="s">
        <v>153</v>
      </c>
      <c r="G345" t="s">
        <v>24</v>
      </c>
      <c r="H345" t="s">
        <v>21</v>
      </c>
      <c r="I345" t="s">
        <v>19</v>
      </c>
      <c r="J345" t="s">
        <v>30</v>
      </c>
      <c r="K345" t="s">
        <v>18</v>
      </c>
      <c r="L345" t="s">
        <v>1422</v>
      </c>
      <c r="M345" t="s">
        <v>1454</v>
      </c>
      <c r="N345">
        <v>2030</v>
      </c>
      <c r="O345" t="s">
        <v>150</v>
      </c>
      <c r="P345" t="s">
        <v>729</v>
      </c>
      <c r="Q345" t="s">
        <v>730</v>
      </c>
      <c r="R345" t="s">
        <v>17</v>
      </c>
      <c r="S345" t="str">
        <f t="shared" si="11"/>
        <v>2030-1654</v>
      </c>
      <c r="AP345">
        <v>46056.379548611112</v>
      </c>
      <c r="AR345">
        <v>46056.379548611112</v>
      </c>
    </row>
    <row r="346" spans="1:44" x14ac:dyDescent="0.25">
      <c r="A346">
        <v>1655</v>
      </c>
      <c r="B346" t="s">
        <v>65</v>
      </c>
      <c r="C346" t="s">
        <v>1455</v>
      </c>
      <c r="D346" t="s">
        <v>1456</v>
      </c>
      <c r="E346" t="s">
        <v>618</v>
      </c>
      <c r="F346" t="s">
        <v>153</v>
      </c>
      <c r="G346" t="s">
        <v>24</v>
      </c>
      <c r="H346" t="s">
        <v>21</v>
      </c>
      <c r="I346" t="s">
        <v>16</v>
      </c>
      <c r="J346" t="s">
        <v>20</v>
      </c>
      <c r="K346" t="s">
        <v>18</v>
      </c>
      <c r="L346" t="s">
        <v>1429</v>
      </c>
      <c r="M346" t="s">
        <v>1457</v>
      </c>
      <c r="N346">
        <v>2030</v>
      </c>
      <c r="O346" t="s">
        <v>150</v>
      </c>
      <c r="P346" t="s">
        <v>22</v>
      </c>
      <c r="Q346" t="s">
        <v>730</v>
      </c>
      <c r="R346" t="s">
        <v>17</v>
      </c>
      <c r="S346" t="str">
        <f t="shared" si="11"/>
        <v>2030-1655</v>
      </c>
      <c r="AP346">
        <v>46056.382094907407</v>
      </c>
      <c r="AR346">
        <v>46056.382094907407</v>
      </c>
    </row>
    <row r="347" spans="1:44" x14ac:dyDescent="0.25">
      <c r="A347">
        <v>1656</v>
      </c>
      <c r="B347" t="s">
        <v>65</v>
      </c>
      <c r="C347" t="s">
        <v>1458</v>
      </c>
      <c r="D347" t="s">
        <v>1459</v>
      </c>
      <c r="E347" t="s">
        <v>1409</v>
      </c>
      <c r="F347" t="s">
        <v>153</v>
      </c>
      <c r="G347" t="s">
        <v>24</v>
      </c>
      <c r="H347" t="s">
        <v>21</v>
      </c>
      <c r="I347" t="s">
        <v>19</v>
      </c>
      <c r="J347" t="s">
        <v>20</v>
      </c>
      <c r="K347" t="s">
        <v>18</v>
      </c>
      <c r="L347" t="s">
        <v>1460</v>
      </c>
      <c r="M347" t="s">
        <v>1460</v>
      </c>
      <c r="N347">
        <v>2031</v>
      </c>
      <c r="O347" t="s">
        <v>150</v>
      </c>
      <c r="P347" t="s">
        <v>729</v>
      </c>
      <c r="Q347" t="s">
        <v>730</v>
      </c>
      <c r="R347" t="s">
        <v>17</v>
      </c>
      <c r="S347" t="str">
        <f t="shared" si="11"/>
        <v>2031-1656</v>
      </c>
      <c r="AP347">
        <v>46056.384027777778</v>
      </c>
      <c r="AR347">
        <v>46056.384027777778</v>
      </c>
    </row>
    <row r="348" spans="1:44" x14ac:dyDescent="0.25">
      <c r="A348">
        <v>1657</v>
      </c>
      <c r="B348" t="s">
        <v>65</v>
      </c>
      <c r="C348" t="s">
        <v>1461</v>
      </c>
      <c r="D348" t="s">
        <v>1462</v>
      </c>
      <c r="E348" t="s">
        <v>618</v>
      </c>
      <c r="F348" t="s">
        <v>153</v>
      </c>
      <c r="G348" t="s">
        <v>24</v>
      </c>
      <c r="H348" t="s">
        <v>21</v>
      </c>
      <c r="I348" t="s">
        <v>16</v>
      </c>
      <c r="J348" t="s">
        <v>20</v>
      </c>
      <c r="K348" t="s">
        <v>18</v>
      </c>
      <c r="L348" t="s">
        <v>897</v>
      </c>
      <c r="M348" t="s">
        <v>1460</v>
      </c>
      <c r="N348">
        <v>2030</v>
      </c>
      <c r="O348" t="s">
        <v>150</v>
      </c>
      <c r="P348" t="s">
        <v>22</v>
      </c>
      <c r="Q348" t="s">
        <v>730</v>
      </c>
      <c r="R348" t="s">
        <v>17</v>
      </c>
      <c r="S348" t="str">
        <f t="shared" si="11"/>
        <v>2030-1657</v>
      </c>
      <c r="AP348">
        <v>46056.385671296295</v>
      </c>
      <c r="AR348">
        <v>46056.385671296295</v>
      </c>
    </row>
    <row r="349" spans="1:44" x14ac:dyDescent="0.25">
      <c r="A349">
        <v>1658</v>
      </c>
      <c r="B349" t="s">
        <v>65</v>
      </c>
      <c r="C349" t="s">
        <v>1463</v>
      </c>
      <c r="D349" t="s">
        <v>1462</v>
      </c>
      <c r="E349" t="s">
        <v>618</v>
      </c>
      <c r="F349" t="s">
        <v>153</v>
      </c>
      <c r="G349" t="s">
        <v>24</v>
      </c>
      <c r="H349" t="s">
        <v>21</v>
      </c>
      <c r="I349" t="s">
        <v>16</v>
      </c>
      <c r="J349" t="s">
        <v>20</v>
      </c>
      <c r="K349" t="s">
        <v>18</v>
      </c>
      <c r="L349" t="s">
        <v>897</v>
      </c>
      <c r="M349" t="s">
        <v>1460</v>
      </c>
      <c r="N349">
        <v>2030</v>
      </c>
      <c r="O349" t="s">
        <v>150</v>
      </c>
      <c r="P349" t="s">
        <v>22</v>
      </c>
      <c r="Q349" t="s">
        <v>730</v>
      </c>
      <c r="R349" t="s">
        <v>17</v>
      </c>
      <c r="S349" t="str">
        <f t="shared" si="11"/>
        <v>2030-1658</v>
      </c>
      <c r="AP349">
        <v>46056.389618055553</v>
      </c>
      <c r="AR349">
        <v>46056.389618055553</v>
      </c>
    </row>
    <row r="350" spans="1:44" x14ac:dyDescent="0.25">
      <c r="A350">
        <v>1659</v>
      </c>
      <c r="B350" t="s">
        <v>65</v>
      </c>
      <c r="C350" t="s">
        <v>1464</v>
      </c>
      <c r="D350" t="s">
        <v>1465</v>
      </c>
      <c r="E350" t="s">
        <v>618</v>
      </c>
      <c r="F350" t="s">
        <v>153</v>
      </c>
      <c r="G350" t="s">
        <v>24</v>
      </c>
      <c r="H350" t="s">
        <v>21</v>
      </c>
      <c r="I350" t="s">
        <v>16</v>
      </c>
      <c r="J350" t="s">
        <v>20</v>
      </c>
      <c r="K350" t="s">
        <v>18</v>
      </c>
      <c r="L350" t="s">
        <v>897</v>
      </c>
      <c r="M350" t="s">
        <v>1460</v>
      </c>
      <c r="N350">
        <v>2030</v>
      </c>
      <c r="O350" t="s">
        <v>150</v>
      </c>
      <c r="P350" t="s">
        <v>22</v>
      </c>
      <c r="Q350" t="s">
        <v>730</v>
      </c>
      <c r="R350" t="s">
        <v>17</v>
      </c>
      <c r="S350" t="str">
        <f t="shared" si="11"/>
        <v>2030-1659</v>
      </c>
      <c r="AP350">
        <v>46056.391273148147</v>
      </c>
      <c r="AR350">
        <v>46056.391273148147</v>
      </c>
    </row>
    <row r="351" spans="1:44" x14ac:dyDescent="0.25">
      <c r="A351">
        <v>1660</v>
      </c>
      <c r="B351" t="s">
        <v>65</v>
      </c>
      <c r="C351" t="s">
        <v>1466</v>
      </c>
      <c r="D351" t="s">
        <v>1467</v>
      </c>
      <c r="E351" t="s">
        <v>1409</v>
      </c>
      <c r="F351" t="s">
        <v>153</v>
      </c>
      <c r="G351" t="s">
        <v>24</v>
      </c>
      <c r="H351" t="s">
        <v>21</v>
      </c>
      <c r="I351" t="s">
        <v>16</v>
      </c>
      <c r="J351" t="s">
        <v>20</v>
      </c>
      <c r="K351" t="s">
        <v>18</v>
      </c>
      <c r="L351" t="s">
        <v>897</v>
      </c>
      <c r="M351" t="s">
        <v>1460</v>
      </c>
      <c r="N351">
        <v>2030</v>
      </c>
      <c r="O351" t="s">
        <v>150</v>
      </c>
      <c r="P351" t="s">
        <v>22</v>
      </c>
      <c r="Q351" t="s">
        <v>730</v>
      </c>
      <c r="R351" t="s">
        <v>17</v>
      </c>
      <c r="S351" t="str">
        <f t="shared" si="11"/>
        <v>2030-1660</v>
      </c>
      <c r="AP351">
        <v>46056.392743055556</v>
      </c>
      <c r="AR351">
        <v>46056.392743055556</v>
      </c>
    </row>
    <row r="352" spans="1:44" x14ac:dyDescent="0.25">
      <c r="A352">
        <v>1661</v>
      </c>
      <c r="B352" t="s">
        <v>65</v>
      </c>
      <c r="C352" t="s">
        <v>1468</v>
      </c>
      <c r="D352" t="s">
        <v>1444</v>
      </c>
      <c r="E352" t="s">
        <v>618</v>
      </c>
      <c r="F352" t="s">
        <v>153</v>
      </c>
      <c r="G352" t="s">
        <v>24</v>
      </c>
      <c r="H352" t="s">
        <v>21</v>
      </c>
      <c r="I352" t="s">
        <v>16</v>
      </c>
      <c r="J352" t="s">
        <v>30</v>
      </c>
      <c r="K352" t="s">
        <v>18</v>
      </c>
      <c r="L352" t="s">
        <v>1439</v>
      </c>
      <c r="M352" t="s">
        <v>1425</v>
      </c>
      <c r="N352">
        <v>2030</v>
      </c>
      <c r="O352" t="s">
        <v>150</v>
      </c>
      <c r="P352" t="s">
        <v>22</v>
      </c>
      <c r="Q352" t="s">
        <v>730</v>
      </c>
      <c r="R352" t="s">
        <v>17</v>
      </c>
      <c r="S352" t="str">
        <f t="shared" si="11"/>
        <v>2030-1661</v>
      </c>
      <c r="AP352">
        <v>46056.395289351851</v>
      </c>
      <c r="AR352">
        <v>46056.395289351851</v>
      </c>
    </row>
    <row r="353" spans="1:44" x14ac:dyDescent="0.25">
      <c r="A353">
        <v>1662</v>
      </c>
      <c r="B353" t="s">
        <v>65</v>
      </c>
      <c r="C353" t="s">
        <v>1469</v>
      </c>
      <c r="D353" t="s">
        <v>1470</v>
      </c>
      <c r="E353" t="s">
        <v>1415</v>
      </c>
      <c r="F353" t="s">
        <v>153</v>
      </c>
      <c r="G353" t="s">
        <v>24</v>
      </c>
      <c r="H353" t="s">
        <v>21</v>
      </c>
      <c r="I353" t="s">
        <v>19</v>
      </c>
      <c r="J353" t="s">
        <v>30</v>
      </c>
      <c r="K353" t="s">
        <v>18</v>
      </c>
      <c r="L353" t="s">
        <v>1429</v>
      </c>
      <c r="M353" t="s">
        <v>1471</v>
      </c>
      <c r="N353">
        <v>2030</v>
      </c>
      <c r="O353" t="s">
        <v>150</v>
      </c>
      <c r="P353" t="s">
        <v>729</v>
      </c>
      <c r="Q353" t="s">
        <v>730</v>
      </c>
      <c r="R353" t="s">
        <v>17</v>
      </c>
      <c r="S353" t="str">
        <f t="shared" si="11"/>
        <v>2030-1662</v>
      </c>
      <c r="AP353">
        <v>46056.400914351849</v>
      </c>
      <c r="AR353">
        <v>46056.400914351849</v>
      </c>
    </row>
    <row r="354" spans="1:44" x14ac:dyDescent="0.25">
      <c r="A354">
        <v>1663</v>
      </c>
      <c r="B354" t="s">
        <v>65</v>
      </c>
      <c r="C354" t="s">
        <v>1472</v>
      </c>
      <c r="D354" t="s">
        <v>1444</v>
      </c>
      <c r="E354" t="s">
        <v>618</v>
      </c>
      <c r="F354" t="s">
        <v>153</v>
      </c>
      <c r="G354" t="s">
        <v>24</v>
      </c>
      <c r="H354" t="s">
        <v>21</v>
      </c>
      <c r="I354" t="s">
        <v>16</v>
      </c>
      <c r="J354" t="s">
        <v>30</v>
      </c>
      <c r="K354" t="s">
        <v>18</v>
      </c>
      <c r="L354" t="s">
        <v>1473</v>
      </c>
      <c r="M354" t="s">
        <v>1426</v>
      </c>
      <c r="N354">
        <v>2030</v>
      </c>
      <c r="O354" t="s">
        <v>150</v>
      </c>
      <c r="P354" t="s">
        <v>22</v>
      </c>
      <c r="Q354" t="s">
        <v>730</v>
      </c>
      <c r="R354" t="s">
        <v>17</v>
      </c>
      <c r="S354" t="str">
        <f t="shared" si="11"/>
        <v>2030-1663</v>
      </c>
      <c r="AP354">
        <v>46056.402754629627</v>
      </c>
      <c r="AR354">
        <v>46056.402754629627</v>
      </c>
    </row>
    <row r="355" spans="1:44" x14ac:dyDescent="0.25">
      <c r="A355">
        <v>1664</v>
      </c>
      <c r="B355" t="s">
        <v>65</v>
      </c>
      <c r="C355" t="s">
        <v>1474</v>
      </c>
      <c r="D355" t="s">
        <v>1475</v>
      </c>
      <c r="E355" t="s">
        <v>1476</v>
      </c>
      <c r="F355" t="s">
        <v>153</v>
      </c>
      <c r="G355" t="s">
        <v>24</v>
      </c>
      <c r="H355" t="s">
        <v>21</v>
      </c>
      <c r="I355" t="s">
        <v>16</v>
      </c>
      <c r="J355" t="s">
        <v>55</v>
      </c>
      <c r="K355" t="s">
        <v>18</v>
      </c>
      <c r="L355" t="s">
        <v>1477</v>
      </c>
      <c r="M355" t="s">
        <v>1478</v>
      </c>
      <c r="N355">
        <v>2026</v>
      </c>
      <c r="O355" t="s">
        <v>150</v>
      </c>
      <c r="P355">
        <v>25</v>
      </c>
      <c r="Q355" t="s">
        <v>730</v>
      </c>
      <c r="R355" t="s">
        <v>17</v>
      </c>
      <c r="S355" t="str">
        <f t="shared" si="11"/>
        <v>2026-1664</v>
      </c>
      <c r="AP355">
        <v>46056.404548611114</v>
      </c>
      <c r="AR355">
        <v>46056.404548611114</v>
      </c>
    </row>
    <row r="356" spans="1:44" x14ac:dyDescent="0.25">
      <c r="A356">
        <v>1665</v>
      </c>
      <c r="B356" t="s">
        <v>65</v>
      </c>
      <c r="C356" t="s">
        <v>1479</v>
      </c>
      <c r="D356" t="s">
        <v>1475</v>
      </c>
      <c r="E356" t="s">
        <v>1476</v>
      </c>
      <c r="F356" t="s">
        <v>153</v>
      </c>
      <c r="G356" t="s">
        <v>24</v>
      </c>
      <c r="H356" t="s">
        <v>21</v>
      </c>
      <c r="I356" t="s">
        <v>16</v>
      </c>
      <c r="J356" t="s">
        <v>55</v>
      </c>
      <c r="K356" t="s">
        <v>18</v>
      </c>
      <c r="L356" t="s">
        <v>1480</v>
      </c>
      <c r="M356" t="s">
        <v>1481</v>
      </c>
      <c r="N356">
        <v>2028</v>
      </c>
      <c r="O356" t="s">
        <v>150</v>
      </c>
      <c r="P356">
        <v>7.6</v>
      </c>
      <c r="Q356" t="s">
        <v>730</v>
      </c>
      <c r="R356" t="s">
        <v>17</v>
      </c>
      <c r="S356" t="str">
        <f t="shared" si="11"/>
        <v>2028-1665</v>
      </c>
      <c r="AP356">
        <v>46056.406087962961</v>
      </c>
      <c r="AR356">
        <v>46056.406087962961</v>
      </c>
    </row>
    <row r="357" spans="1:44" x14ac:dyDescent="0.25">
      <c r="A357">
        <v>1666</v>
      </c>
      <c r="B357" t="s">
        <v>65</v>
      </c>
      <c r="C357" t="s">
        <v>1482</v>
      </c>
      <c r="D357" t="s">
        <v>1441</v>
      </c>
      <c r="E357" t="s">
        <v>1476</v>
      </c>
      <c r="F357" t="s">
        <v>153</v>
      </c>
      <c r="G357" t="s">
        <v>24</v>
      </c>
      <c r="H357" t="s">
        <v>21</v>
      </c>
      <c r="I357" t="s">
        <v>16</v>
      </c>
      <c r="J357" t="s">
        <v>20</v>
      </c>
      <c r="K357" t="s">
        <v>18</v>
      </c>
      <c r="L357" t="s">
        <v>1483</v>
      </c>
      <c r="M357" t="s">
        <v>1484</v>
      </c>
      <c r="N357">
        <v>2029</v>
      </c>
      <c r="O357" t="s">
        <v>150</v>
      </c>
      <c r="P357">
        <v>18.8</v>
      </c>
      <c r="Q357" t="s">
        <v>730</v>
      </c>
      <c r="R357" t="s">
        <v>17</v>
      </c>
      <c r="S357" t="str">
        <f t="shared" si="11"/>
        <v>2029-1666</v>
      </c>
      <c r="AP357">
        <v>46056.409143518518</v>
      </c>
      <c r="AR357">
        <v>46056.409143518518</v>
      </c>
    </row>
    <row r="358" spans="1:44" x14ac:dyDescent="0.25">
      <c r="A358">
        <v>1667</v>
      </c>
      <c r="B358" t="s">
        <v>65</v>
      </c>
      <c r="C358" t="s">
        <v>1485</v>
      </c>
      <c r="D358" t="s">
        <v>1456</v>
      </c>
      <c r="E358" t="s">
        <v>1486</v>
      </c>
      <c r="F358" t="s">
        <v>153</v>
      </c>
      <c r="G358" t="s">
        <v>24</v>
      </c>
      <c r="H358" t="s">
        <v>21</v>
      </c>
      <c r="I358" t="s">
        <v>16</v>
      </c>
      <c r="J358" t="s">
        <v>20</v>
      </c>
      <c r="K358" t="s">
        <v>18</v>
      </c>
      <c r="L358" t="s">
        <v>1487</v>
      </c>
      <c r="M358" t="s">
        <v>1488</v>
      </c>
      <c r="N358">
        <v>2027</v>
      </c>
      <c r="O358" t="s">
        <v>150</v>
      </c>
      <c r="P358">
        <v>30.3</v>
      </c>
      <c r="Q358" t="s">
        <v>730</v>
      </c>
      <c r="R358" t="s">
        <v>17</v>
      </c>
      <c r="S358" t="str">
        <f t="shared" si="11"/>
        <v>2027-1667</v>
      </c>
      <c r="AP358">
        <v>46057.701979166668</v>
      </c>
      <c r="AR358">
        <v>46056.413726851853</v>
      </c>
    </row>
    <row r="359" spans="1:44" x14ac:dyDescent="0.25">
      <c r="A359">
        <v>1668</v>
      </c>
      <c r="B359" t="s">
        <v>65</v>
      </c>
      <c r="C359" t="s">
        <v>1489</v>
      </c>
      <c r="D359" t="s">
        <v>1444</v>
      </c>
      <c r="E359" t="s">
        <v>1490</v>
      </c>
      <c r="F359" t="s">
        <v>153</v>
      </c>
      <c r="G359" t="s">
        <v>24</v>
      </c>
      <c r="H359" t="s">
        <v>21</v>
      </c>
      <c r="I359" t="s">
        <v>16</v>
      </c>
      <c r="J359" t="s">
        <v>30</v>
      </c>
      <c r="K359" t="s">
        <v>18</v>
      </c>
      <c r="L359" t="s">
        <v>1491</v>
      </c>
      <c r="M359" t="s">
        <v>1492</v>
      </c>
      <c r="N359">
        <v>2029</v>
      </c>
      <c r="O359" t="s">
        <v>150</v>
      </c>
      <c r="P359">
        <v>26.8</v>
      </c>
      <c r="Q359" t="s">
        <v>730</v>
      </c>
      <c r="R359" t="s">
        <v>17</v>
      </c>
      <c r="S359" t="str">
        <f t="shared" si="11"/>
        <v>2029-1668</v>
      </c>
      <c r="AP359">
        <v>46056.463958333334</v>
      </c>
      <c r="AR359">
        <v>46056.462013888886</v>
      </c>
    </row>
    <row r="360" spans="1:44" x14ac:dyDescent="0.25">
      <c r="A360">
        <v>1669</v>
      </c>
      <c r="B360" t="s">
        <v>65</v>
      </c>
      <c r="C360" t="s">
        <v>1493</v>
      </c>
      <c r="D360" t="s">
        <v>1444</v>
      </c>
      <c r="E360" t="s">
        <v>1490</v>
      </c>
      <c r="F360" t="s">
        <v>153</v>
      </c>
      <c r="G360" t="s">
        <v>24</v>
      </c>
      <c r="H360" t="s">
        <v>21</v>
      </c>
      <c r="I360" t="s">
        <v>16</v>
      </c>
      <c r="J360" t="s">
        <v>30</v>
      </c>
      <c r="K360" t="s">
        <v>18</v>
      </c>
      <c r="L360" t="s">
        <v>1494</v>
      </c>
      <c r="M360" t="s">
        <v>1492</v>
      </c>
      <c r="N360">
        <v>2028</v>
      </c>
      <c r="O360" t="s">
        <v>150</v>
      </c>
      <c r="P360">
        <v>20.5</v>
      </c>
      <c r="Q360" t="s">
        <v>730</v>
      </c>
      <c r="R360" t="s">
        <v>17</v>
      </c>
      <c r="S360" t="str">
        <f t="shared" si="11"/>
        <v>2028-1669</v>
      </c>
      <c r="AP360">
        <v>46056.463680555556</v>
      </c>
      <c r="AR360">
        <v>46056.463680555556</v>
      </c>
    </row>
    <row r="361" spans="1:44" x14ac:dyDescent="0.25">
      <c r="A361">
        <v>1670</v>
      </c>
      <c r="B361" t="s">
        <v>65</v>
      </c>
      <c r="C361" t="s">
        <v>1495</v>
      </c>
      <c r="D361" t="s">
        <v>1444</v>
      </c>
      <c r="E361" t="s">
        <v>1490</v>
      </c>
      <c r="F361" t="s">
        <v>153</v>
      </c>
      <c r="G361" t="s">
        <v>24</v>
      </c>
      <c r="H361" t="s">
        <v>21</v>
      </c>
      <c r="I361" t="s">
        <v>16</v>
      </c>
      <c r="J361" t="s">
        <v>30</v>
      </c>
      <c r="K361" t="s">
        <v>18</v>
      </c>
      <c r="L361" t="s">
        <v>1496</v>
      </c>
      <c r="M361" t="s">
        <v>1494</v>
      </c>
      <c r="N361">
        <v>2029</v>
      </c>
      <c r="O361" t="s">
        <v>150</v>
      </c>
      <c r="P361">
        <v>16</v>
      </c>
      <c r="Q361" t="s">
        <v>730</v>
      </c>
      <c r="R361" t="s">
        <v>17</v>
      </c>
      <c r="S361" t="str">
        <f t="shared" si="11"/>
        <v>2029-1670</v>
      </c>
      <c r="AP361">
        <v>46056.465729166666</v>
      </c>
      <c r="AR361">
        <v>46056.465729166666</v>
      </c>
    </row>
    <row r="362" spans="1:44" x14ac:dyDescent="0.25">
      <c r="A362">
        <v>1671</v>
      </c>
      <c r="B362" t="s">
        <v>65</v>
      </c>
      <c r="C362" t="s">
        <v>1497</v>
      </c>
      <c r="D362" t="s">
        <v>1444</v>
      </c>
      <c r="E362" t="s">
        <v>1490</v>
      </c>
      <c r="F362" t="s">
        <v>153</v>
      </c>
      <c r="G362" t="s">
        <v>24</v>
      </c>
      <c r="H362" t="s">
        <v>21</v>
      </c>
      <c r="I362" t="s">
        <v>16</v>
      </c>
      <c r="J362" t="s">
        <v>30</v>
      </c>
      <c r="K362" t="s">
        <v>18</v>
      </c>
      <c r="L362" t="s">
        <v>1496</v>
      </c>
      <c r="M362" t="s">
        <v>1498</v>
      </c>
      <c r="N362">
        <v>2030</v>
      </c>
      <c r="O362" t="s">
        <v>150</v>
      </c>
      <c r="P362">
        <v>16.399999999999999</v>
      </c>
      <c r="Q362" t="s">
        <v>730</v>
      </c>
      <c r="R362" t="s">
        <v>17</v>
      </c>
      <c r="S362" t="str">
        <f t="shared" si="11"/>
        <v>2030-1671</v>
      </c>
      <c r="AP362">
        <v>46056.469884259262</v>
      </c>
      <c r="AR362">
        <v>46056.469884259262</v>
      </c>
    </row>
    <row r="363" spans="1:44" x14ac:dyDescent="0.25">
      <c r="A363">
        <v>1672</v>
      </c>
      <c r="B363" t="s">
        <v>65</v>
      </c>
      <c r="C363" t="s">
        <v>1499</v>
      </c>
      <c r="D363" t="s">
        <v>1444</v>
      </c>
      <c r="E363" t="s">
        <v>1490</v>
      </c>
      <c r="F363" t="s">
        <v>153</v>
      </c>
      <c r="G363" t="s">
        <v>24</v>
      </c>
      <c r="H363" t="s">
        <v>21</v>
      </c>
      <c r="I363" t="s">
        <v>16</v>
      </c>
      <c r="J363" t="s">
        <v>30</v>
      </c>
      <c r="K363" t="s">
        <v>18</v>
      </c>
      <c r="L363" t="s">
        <v>1491</v>
      </c>
      <c r="M363" t="s">
        <v>1500</v>
      </c>
      <c r="N363">
        <v>2030</v>
      </c>
      <c r="O363" t="s">
        <v>150</v>
      </c>
      <c r="P363">
        <v>48.6</v>
      </c>
      <c r="Q363" t="s">
        <v>730</v>
      </c>
      <c r="R363" t="s">
        <v>17</v>
      </c>
      <c r="S363" t="str">
        <f t="shared" ref="S363:S382" si="12">N363&amp;"-"&amp;A363</f>
        <v>2030-1672</v>
      </c>
      <c r="AP363">
        <v>46056.471875000003</v>
      </c>
      <c r="AR363">
        <v>46056.471875000003</v>
      </c>
    </row>
    <row r="364" spans="1:44" x14ac:dyDescent="0.25">
      <c r="A364">
        <v>1673</v>
      </c>
      <c r="B364" t="s">
        <v>65</v>
      </c>
      <c r="C364" t="s">
        <v>1501</v>
      </c>
      <c r="D364" t="s">
        <v>1444</v>
      </c>
      <c r="E364" t="s">
        <v>1490</v>
      </c>
      <c r="F364" t="s">
        <v>153</v>
      </c>
      <c r="G364" t="s">
        <v>24</v>
      </c>
      <c r="H364" t="s">
        <v>21</v>
      </c>
      <c r="I364" t="s">
        <v>16</v>
      </c>
      <c r="J364" t="s">
        <v>30</v>
      </c>
      <c r="K364" t="s">
        <v>18</v>
      </c>
      <c r="L364" t="s">
        <v>1500</v>
      </c>
      <c r="M364" t="s">
        <v>1502</v>
      </c>
      <c r="N364">
        <v>2030</v>
      </c>
      <c r="O364" t="s">
        <v>150</v>
      </c>
      <c r="P364">
        <v>11</v>
      </c>
      <c r="Q364" t="s">
        <v>730</v>
      </c>
      <c r="R364" t="s">
        <v>17</v>
      </c>
      <c r="S364" t="str">
        <f t="shared" si="12"/>
        <v>2030-1673</v>
      </c>
      <c r="AP364">
        <v>46056.473078703704</v>
      </c>
      <c r="AR364">
        <v>46056.473078703704</v>
      </c>
    </row>
    <row r="365" spans="1:44" x14ac:dyDescent="0.25">
      <c r="A365">
        <v>1674</v>
      </c>
      <c r="B365" t="s">
        <v>65</v>
      </c>
      <c r="C365" t="s">
        <v>1503</v>
      </c>
      <c r="D365" t="s">
        <v>1444</v>
      </c>
      <c r="E365" t="s">
        <v>1486</v>
      </c>
      <c r="F365" t="s">
        <v>153</v>
      </c>
      <c r="G365" t="s">
        <v>24</v>
      </c>
      <c r="H365" t="s">
        <v>21</v>
      </c>
      <c r="I365" t="s">
        <v>16</v>
      </c>
      <c r="J365" t="s">
        <v>30</v>
      </c>
      <c r="K365" t="s">
        <v>18</v>
      </c>
      <c r="L365" t="s">
        <v>1504</v>
      </c>
      <c r="M365" t="s">
        <v>1505</v>
      </c>
      <c r="N365">
        <v>2031</v>
      </c>
      <c r="O365" t="s">
        <v>150</v>
      </c>
      <c r="P365">
        <v>14.3</v>
      </c>
      <c r="Q365" t="s">
        <v>730</v>
      </c>
      <c r="R365" t="s">
        <v>17</v>
      </c>
      <c r="S365" t="str">
        <f t="shared" si="12"/>
        <v>2031-1674</v>
      </c>
      <c r="AP365">
        <v>46056.482523148145</v>
      </c>
      <c r="AR365">
        <v>46056.482523148145</v>
      </c>
    </row>
    <row r="366" spans="1:44" x14ac:dyDescent="0.25">
      <c r="A366">
        <v>1675</v>
      </c>
      <c r="B366" t="s">
        <v>65</v>
      </c>
      <c r="C366" t="s">
        <v>1506</v>
      </c>
      <c r="D366" t="s">
        <v>1444</v>
      </c>
      <c r="E366" t="s">
        <v>1486</v>
      </c>
      <c r="F366" t="s">
        <v>153</v>
      </c>
      <c r="G366" t="s">
        <v>24</v>
      </c>
      <c r="H366" t="s">
        <v>21</v>
      </c>
      <c r="I366" t="s">
        <v>16</v>
      </c>
      <c r="J366" t="s">
        <v>30</v>
      </c>
      <c r="K366" t="s">
        <v>18</v>
      </c>
      <c r="L366" t="s">
        <v>1504</v>
      </c>
      <c r="M366" t="s">
        <v>1507</v>
      </c>
      <c r="N366">
        <v>2031</v>
      </c>
      <c r="O366" t="s">
        <v>150</v>
      </c>
      <c r="P366">
        <v>25</v>
      </c>
      <c r="Q366" t="s">
        <v>730</v>
      </c>
      <c r="R366" t="s">
        <v>17</v>
      </c>
      <c r="S366" t="str">
        <f t="shared" si="12"/>
        <v>2031-1675</v>
      </c>
      <c r="AP366">
        <v>46056.483935185184</v>
      </c>
      <c r="AR366">
        <v>46056.483935185184</v>
      </c>
    </row>
    <row r="367" spans="1:44" x14ac:dyDescent="0.25">
      <c r="A367">
        <v>1676</v>
      </c>
      <c r="B367" t="s">
        <v>65</v>
      </c>
      <c r="C367" t="s">
        <v>1508</v>
      </c>
      <c r="D367" t="s">
        <v>1441</v>
      </c>
      <c r="E367" t="s">
        <v>1486</v>
      </c>
      <c r="F367" t="s">
        <v>153</v>
      </c>
      <c r="G367" t="s">
        <v>24</v>
      </c>
      <c r="H367" t="s">
        <v>21</v>
      </c>
      <c r="I367" t="s">
        <v>16</v>
      </c>
      <c r="J367" t="s">
        <v>20</v>
      </c>
      <c r="K367" t="s">
        <v>18</v>
      </c>
      <c r="L367" t="s">
        <v>1483</v>
      </c>
      <c r="M367" t="s">
        <v>1509</v>
      </c>
      <c r="N367">
        <v>2027</v>
      </c>
      <c r="O367" t="s">
        <v>150</v>
      </c>
      <c r="P367">
        <v>21.7</v>
      </c>
      <c r="Q367" t="s">
        <v>730</v>
      </c>
      <c r="R367" t="s">
        <v>17</v>
      </c>
      <c r="S367" t="str">
        <f t="shared" si="12"/>
        <v>2027-1676</v>
      </c>
      <c r="AP367">
        <v>46056.486064814817</v>
      </c>
      <c r="AR367">
        <v>46056.486064814817</v>
      </c>
    </row>
    <row r="368" spans="1:44" x14ac:dyDescent="0.25">
      <c r="A368">
        <v>1677</v>
      </c>
      <c r="B368" t="s">
        <v>65</v>
      </c>
      <c r="C368" t="s">
        <v>1510</v>
      </c>
      <c r="D368" t="s">
        <v>1441</v>
      </c>
      <c r="E368" t="s">
        <v>1486</v>
      </c>
      <c r="F368" t="s">
        <v>153</v>
      </c>
      <c r="G368" t="s">
        <v>24</v>
      </c>
      <c r="H368" t="s">
        <v>21</v>
      </c>
      <c r="I368" t="s">
        <v>16</v>
      </c>
      <c r="J368" t="s">
        <v>20</v>
      </c>
      <c r="K368" t="s">
        <v>18</v>
      </c>
      <c r="L368" t="s">
        <v>1511</v>
      </c>
      <c r="M368" t="s">
        <v>1512</v>
      </c>
      <c r="N368">
        <v>2028</v>
      </c>
      <c r="O368" t="s">
        <v>150</v>
      </c>
      <c r="P368">
        <v>41.4</v>
      </c>
      <c r="Q368" t="s">
        <v>730</v>
      </c>
      <c r="R368" t="s">
        <v>17</v>
      </c>
      <c r="S368" t="str">
        <f t="shared" si="12"/>
        <v>2028-1677</v>
      </c>
      <c r="AP368">
        <v>46056.505555555559</v>
      </c>
      <c r="AR368">
        <v>46056.505555555559</v>
      </c>
    </row>
    <row r="369" spans="1:44" x14ac:dyDescent="0.25">
      <c r="A369">
        <v>1678</v>
      </c>
      <c r="B369" t="s">
        <v>166</v>
      </c>
      <c r="C369" t="s">
        <v>1513</v>
      </c>
      <c r="D369" t="s">
        <v>1514</v>
      </c>
      <c r="E369" t="s">
        <v>153</v>
      </c>
      <c r="F369" t="s">
        <v>153</v>
      </c>
      <c r="G369" t="s">
        <v>24</v>
      </c>
      <c r="H369" t="s">
        <v>21</v>
      </c>
      <c r="I369" t="s">
        <v>19</v>
      </c>
      <c r="J369" t="s">
        <v>14</v>
      </c>
      <c r="K369" t="s">
        <v>18</v>
      </c>
      <c r="L369" t="s">
        <v>1515</v>
      </c>
      <c r="M369" t="s">
        <v>1516</v>
      </c>
      <c r="N369">
        <v>2028</v>
      </c>
      <c r="O369" t="s">
        <v>133</v>
      </c>
      <c r="P369">
        <v>13</v>
      </c>
      <c r="Q369" t="s">
        <v>727</v>
      </c>
      <c r="R369" t="s">
        <v>17</v>
      </c>
      <c r="S369" t="str">
        <f t="shared" si="12"/>
        <v>2028-1678</v>
      </c>
      <c r="AP369">
        <v>46058.596134259256</v>
      </c>
      <c r="AR369">
        <v>46049.485520833332</v>
      </c>
    </row>
    <row r="370" spans="1:44" x14ac:dyDescent="0.25">
      <c r="A370">
        <v>1679</v>
      </c>
      <c r="B370" t="s">
        <v>166</v>
      </c>
      <c r="C370" t="s">
        <v>1517</v>
      </c>
      <c r="D370" t="s">
        <v>1518</v>
      </c>
      <c r="E370" t="s">
        <v>153</v>
      </c>
      <c r="F370" t="s">
        <v>153</v>
      </c>
      <c r="G370" t="s">
        <v>24</v>
      </c>
      <c r="H370" t="s">
        <v>21</v>
      </c>
      <c r="I370" t="s">
        <v>16</v>
      </c>
      <c r="J370" t="s">
        <v>14</v>
      </c>
      <c r="K370" t="s">
        <v>18</v>
      </c>
      <c r="L370" t="s">
        <v>1519</v>
      </c>
      <c r="M370" t="s">
        <v>1113</v>
      </c>
      <c r="N370">
        <v>2028</v>
      </c>
      <c r="O370" t="s">
        <v>133</v>
      </c>
      <c r="P370">
        <v>8</v>
      </c>
      <c r="Q370" t="s">
        <v>727</v>
      </c>
      <c r="R370" t="s">
        <v>17</v>
      </c>
      <c r="S370" t="str">
        <f t="shared" si="12"/>
        <v>2028-1679</v>
      </c>
      <c r="AP370">
        <v>46058.605787037035</v>
      </c>
      <c r="AR370">
        <v>46056.388842592591</v>
      </c>
    </row>
    <row r="371" spans="1:44" x14ac:dyDescent="0.25">
      <c r="A371">
        <v>1680</v>
      </c>
      <c r="B371" t="s">
        <v>166</v>
      </c>
      <c r="C371" t="s">
        <v>1520</v>
      </c>
      <c r="D371" t="s">
        <v>1521</v>
      </c>
      <c r="E371" t="s">
        <v>626</v>
      </c>
      <c r="F371" t="s">
        <v>623</v>
      </c>
      <c r="G371" t="s">
        <v>24</v>
      </c>
      <c r="H371" t="s">
        <v>21</v>
      </c>
      <c r="I371" t="s">
        <v>19</v>
      </c>
      <c r="J371" t="s">
        <v>14</v>
      </c>
      <c r="K371" t="s">
        <v>18</v>
      </c>
      <c r="L371" t="s">
        <v>1149</v>
      </c>
      <c r="M371" t="s">
        <v>1520</v>
      </c>
      <c r="N371">
        <v>2027</v>
      </c>
      <c r="O371" t="s">
        <v>133</v>
      </c>
      <c r="P371" t="s">
        <v>729</v>
      </c>
      <c r="Q371" t="s">
        <v>727</v>
      </c>
      <c r="R371" t="s">
        <v>17</v>
      </c>
      <c r="S371" t="str">
        <f t="shared" si="12"/>
        <v>2027-1680</v>
      </c>
      <c r="AP371">
        <v>46056.47216435185</v>
      </c>
      <c r="AR371">
        <v>46056.47216435185</v>
      </c>
    </row>
    <row r="372" spans="1:44" x14ac:dyDescent="0.25">
      <c r="A372">
        <v>1681</v>
      </c>
      <c r="B372" t="s">
        <v>166</v>
      </c>
      <c r="C372" t="s">
        <v>1522</v>
      </c>
      <c r="D372" t="s">
        <v>1523</v>
      </c>
      <c r="E372" t="s">
        <v>1524</v>
      </c>
      <c r="F372" t="s">
        <v>626</v>
      </c>
      <c r="G372" t="s">
        <v>24</v>
      </c>
      <c r="H372" t="s">
        <v>21</v>
      </c>
      <c r="I372" t="s">
        <v>16</v>
      </c>
      <c r="J372" t="s">
        <v>27</v>
      </c>
      <c r="K372" t="s">
        <v>18</v>
      </c>
      <c r="L372" t="s">
        <v>274</v>
      </c>
      <c r="M372" t="s">
        <v>1157</v>
      </c>
      <c r="N372">
        <v>2027</v>
      </c>
      <c r="O372" t="s">
        <v>133</v>
      </c>
      <c r="P372" t="s">
        <v>1525</v>
      </c>
      <c r="Q372" t="s">
        <v>727</v>
      </c>
      <c r="R372" t="s">
        <v>17</v>
      </c>
      <c r="S372" t="str">
        <f t="shared" si="12"/>
        <v>2027-1681</v>
      </c>
      <c r="AP372">
        <v>46056.497187499997</v>
      </c>
      <c r="AR372">
        <v>46056.497187499997</v>
      </c>
    </row>
    <row r="373" spans="1:44" x14ac:dyDescent="0.25">
      <c r="A373">
        <v>1682</v>
      </c>
      <c r="B373" t="s">
        <v>166</v>
      </c>
      <c r="C373" t="s">
        <v>1220</v>
      </c>
      <c r="D373" t="s">
        <v>1526</v>
      </c>
      <c r="E373" t="s">
        <v>1527</v>
      </c>
      <c r="F373" t="s">
        <v>594</v>
      </c>
      <c r="G373" t="s">
        <v>24</v>
      </c>
      <c r="H373" t="s">
        <v>21</v>
      </c>
      <c r="I373" t="s">
        <v>19</v>
      </c>
      <c r="J373" t="s">
        <v>25</v>
      </c>
      <c r="K373" t="s">
        <v>18</v>
      </c>
      <c r="L373" t="s">
        <v>1222</v>
      </c>
      <c r="M373" t="s">
        <v>21</v>
      </c>
      <c r="N373">
        <v>2035</v>
      </c>
      <c r="O373" t="s">
        <v>133</v>
      </c>
      <c r="P373" t="s">
        <v>21</v>
      </c>
      <c r="Q373" t="s">
        <v>727</v>
      </c>
      <c r="R373" t="s">
        <v>17</v>
      </c>
      <c r="S373" t="str">
        <f t="shared" si="12"/>
        <v>2035-1682</v>
      </c>
      <c r="AP373">
        <v>46057.761099537034</v>
      </c>
      <c r="AR373">
        <v>46057.761099537034</v>
      </c>
    </row>
    <row r="374" spans="1:44" x14ac:dyDescent="0.25">
      <c r="A374">
        <v>1683</v>
      </c>
      <c r="B374" t="s">
        <v>166</v>
      </c>
      <c r="C374" t="s">
        <v>1528</v>
      </c>
      <c r="D374" t="s">
        <v>1231</v>
      </c>
      <c r="E374" t="s">
        <v>75</v>
      </c>
      <c r="F374" t="s">
        <v>153</v>
      </c>
      <c r="G374" t="s">
        <v>24</v>
      </c>
      <c r="H374" t="s">
        <v>21</v>
      </c>
      <c r="I374" t="s">
        <v>16</v>
      </c>
      <c r="J374" t="s">
        <v>14</v>
      </c>
      <c r="K374" t="s">
        <v>728</v>
      </c>
      <c r="L374" t="s">
        <v>1117</v>
      </c>
      <c r="M374" t="s">
        <v>1130</v>
      </c>
      <c r="N374">
        <v>2029</v>
      </c>
      <c r="O374" t="s">
        <v>133</v>
      </c>
      <c r="P374" t="s">
        <v>729</v>
      </c>
      <c r="Q374" t="s">
        <v>727</v>
      </c>
      <c r="R374" t="s">
        <v>17</v>
      </c>
      <c r="S374" t="str">
        <f t="shared" si="12"/>
        <v>2029-1683</v>
      </c>
      <c r="AP374">
        <v>46057.799432870372</v>
      </c>
      <c r="AR374">
        <v>46057.799432870372</v>
      </c>
    </row>
    <row r="375" spans="1:44" x14ac:dyDescent="0.25">
      <c r="A375">
        <v>1684</v>
      </c>
      <c r="B375" t="s">
        <v>166</v>
      </c>
      <c r="C375" t="s">
        <v>1529</v>
      </c>
      <c r="D375" t="s">
        <v>1530</v>
      </c>
      <c r="E375" t="s">
        <v>353</v>
      </c>
      <c r="F375" t="s">
        <v>153</v>
      </c>
      <c r="G375" t="s">
        <v>24</v>
      </c>
      <c r="H375" t="s">
        <v>21</v>
      </c>
      <c r="I375" t="s">
        <v>19</v>
      </c>
      <c r="J375" t="s">
        <v>14</v>
      </c>
      <c r="K375" t="s">
        <v>18</v>
      </c>
      <c r="L375" t="s">
        <v>1531</v>
      </c>
      <c r="M375" t="s">
        <v>1531</v>
      </c>
      <c r="N375">
        <v>2027</v>
      </c>
      <c r="O375" t="s">
        <v>133</v>
      </c>
      <c r="P375" t="s">
        <v>729</v>
      </c>
      <c r="Q375" t="s">
        <v>727</v>
      </c>
      <c r="R375" t="s">
        <v>17</v>
      </c>
      <c r="S375" t="str">
        <f t="shared" si="12"/>
        <v>2027-1684</v>
      </c>
      <c r="AP375">
        <v>46057.814421296294</v>
      </c>
      <c r="AR375">
        <v>46057.814421296294</v>
      </c>
    </row>
    <row r="376" spans="1:44" x14ac:dyDescent="0.25">
      <c r="A376">
        <v>1685</v>
      </c>
      <c r="B376" t="s">
        <v>166</v>
      </c>
      <c r="C376" t="s">
        <v>1532</v>
      </c>
      <c r="D376" t="s">
        <v>1533</v>
      </c>
      <c r="E376" t="s">
        <v>1534</v>
      </c>
      <c r="F376" t="s">
        <v>153</v>
      </c>
      <c r="G376" t="s">
        <v>24</v>
      </c>
      <c r="H376" t="s">
        <v>21</v>
      </c>
      <c r="I376" t="s">
        <v>19</v>
      </c>
      <c r="J376" t="s">
        <v>14</v>
      </c>
      <c r="K376" t="s">
        <v>18</v>
      </c>
      <c r="L376" t="s">
        <v>1535</v>
      </c>
      <c r="M376" t="s">
        <v>1535</v>
      </c>
      <c r="N376">
        <v>2031</v>
      </c>
      <c r="O376" t="s">
        <v>133</v>
      </c>
      <c r="P376" t="s">
        <v>21</v>
      </c>
      <c r="Q376" t="s">
        <v>727</v>
      </c>
      <c r="R376" t="s">
        <v>17</v>
      </c>
      <c r="S376" t="str">
        <f t="shared" si="12"/>
        <v>2031-1685</v>
      </c>
      <c r="AP376">
        <v>46057.817453703705</v>
      </c>
      <c r="AR376">
        <v>46057.817453703705</v>
      </c>
    </row>
    <row r="377" spans="1:44" x14ac:dyDescent="0.25">
      <c r="A377">
        <v>1686</v>
      </c>
      <c r="B377" t="s">
        <v>166</v>
      </c>
      <c r="C377" t="s">
        <v>1536</v>
      </c>
      <c r="D377" t="s">
        <v>1537</v>
      </c>
      <c r="E377" t="s">
        <v>1538</v>
      </c>
      <c r="F377" t="s">
        <v>153</v>
      </c>
      <c r="G377" t="s">
        <v>24</v>
      </c>
      <c r="H377" t="s">
        <v>21</v>
      </c>
      <c r="I377" t="s">
        <v>16</v>
      </c>
      <c r="J377" t="s">
        <v>27</v>
      </c>
      <c r="K377" t="s">
        <v>33</v>
      </c>
      <c r="L377" t="s">
        <v>1539</v>
      </c>
      <c r="M377" t="s">
        <v>1540</v>
      </c>
      <c r="N377" t="s">
        <v>22</v>
      </c>
      <c r="O377" t="s">
        <v>133</v>
      </c>
      <c r="P377" t="s">
        <v>1541</v>
      </c>
      <c r="Q377" t="s">
        <v>585</v>
      </c>
      <c r="R377" t="s">
        <v>17</v>
      </c>
      <c r="S377" t="str">
        <f t="shared" si="12"/>
        <v>TBD-1686</v>
      </c>
      <c r="AP377">
        <v>46058.359143518515</v>
      </c>
      <c r="AR377">
        <v>46058.359143518515</v>
      </c>
    </row>
    <row r="378" spans="1:44" x14ac:dyDescent="0.25">
      <c r="A378">
        <v>1687</v>
      </c>
      <c r="B378" t="s">
        <v>166</v>
      </c>
      <c r="C378" t="s">
        <v>1542</v>
      </c>
      <c r="D378" t="s">
        <v>1213</v>
      </c>
      <c r="E378" t="s">
        <v>75</v>
      </c>
      <c r="F378" t="s">
        <v>626</v>
      </c>
      <c r="G378" t="s">
        <v>24</v>
      </c>
      <c r="H378" t="s">
        <v>21</v>
      </c>
      <c r="I378" t="s">
        <v>16</v>
      </c>
      <c r="J378" t="s">
        <v>14</v>
      </c>
      <c r="K378" t="s">
        <v>18</v>
      </c>
      <c r="L378" t="s">
        <v>1519</v>
      </c>
      <c r="M378" t="s">
        <v>1543</v>
      </c>
      <c r="N378">
        <v>2028</v>
      </c>
      <c r="O378" t="s">
        <v>133</v>
      </c>
      <c r="P378">
        <v>5</v>
      </c>
      <c r="Q378" t="s">
        <v>727</v>
      </c>
      <c r="R378" t="s">
        <v>17</v>
      </c>
      <c r="S378" t="str">
        <f t="shared" si="12"/>
        <v>2028-1687</v>
      </c>
      <c r="AP378">
        <v>46058.604305555556</v>
      </c>
      <c r="AR378">
        <v>46058.604305555556</v>
      </c>
    </row>
    <row r="379" spans="1:44" x14ac:dyDescent="0.25">
      <c r="A379">
        <v>1688</v>
      </c>
      <c r="B379" t="s">
        <v>166</v>
      </c>
      <c r="C379" t="s">
        <v>1544</v>
      </c>
      <c r="D379" t="s">
        <v>1545</v>
      </c>
      <c r="E379" t="s">
        <v>153</v>
      </c>
      <c r="F379" t="s">
        <v>153</v>
      </c>
      <c r="G379" t="s">
        <v>24</v>
      </c>
      <c r="H379" t="s">
        <v>21</v>
      </c>
      <c r="I379" t="s">
        <v>16</v>
      </c>
      <c r="J379" t="s">
        <v>14</v>
      </c>
      <c r="K379" t="s">
        <v>18</v>
      </c>
      <c r="L379" t="s">
        <v>1214</v>
      </c>
      <c r="M379" t="s">
        <v>1217</v>
      </c>
      <c r="N379">
        <v>2030</v>
      </c>
      <c r="O379" t="s">
        <v>133</v>
      </c>
      <c r="P379">
        <v>3</v>
      </c>
      <c r="Q379" t="s">
        <v>727</v>
      </c>
      <c r="R379" t="s">
        <v>17</v>
      </c>
      <c r="S379" t="str">
        <f t="shared" si="12"/>
        <v>2030-1688</v>
      </c>
      <c r="AP379">
        <v>46058.623518518521</v>
      </c>
      <c r="AR379">
        <v>46058.623518518521</v>
      </c>
    </row>
    <row r="380" spans="1:44" x14ac:dyDescent="0.25">
      <c r="A380">
        <v>1689</v>
      </c>
      <c r="B380" t="s">
        <v>166</v>
      </c>
      <c r="C380" t="s">
        <v>1546</v>
      </c>
      <c r="D380" t="s">
        <v>1546</v>
      </c>
      <c r="E380" t="s">
        <v>153</v>
      </c>
      <c r="F380" t="s">
        <v>626</v>
      </c>
      <c r="G380" t="s">
        <v>24</v>
      </c>
      <c r="H380" t="s">
        <v>21</v>
      </c>
      <c r="I380" t="s">
        <v>16</v>
      </c>
      <c r="J380" t="s">
        <v>14</v>
      </c>
      <c r="K380" t="s">
        <v>18</v>
      </c>
      <c r="L380" t="s">
        <v>1149</v>
      </c>
      <c r="M380" t="s">
        <v>1520</v>
      </c>
      <c r="N380">
        <v>2027</v>
      </c>
      <c r="O380" t="s">
        <v>133</v>
      </c>
      <c r="P380">
        <v>3</v>
      </c>
      <c r="Q380" t="s">
        <v>727</v>
      </c>
      <c r="R380" t="s">
        <v>17</v>
      </c>
      <c r="S380" t="str">
        <f t="shared" si="12"/>
        <v>2027-1689</v>
      </c>
      <c r="AP380">
        <v>46058.634722222225</v>
      </c>
      <c r="AR380">
        <v>46058.634722222225</v>
      </c>
    </row>
    <row r="381" spans="1:44" x14ac:dyDescent="0.25">
      <c r="A381">
        <v>1690</v>
      </c>
      <c r="B381" t="s">
        <v>166</v>
      </c>
      <c r="C381" t="s">
        <v>1547</v>
      </c>
      <c r="D381" t="s">
        <v>1548</v>
      </c>
      <c r="E381" t="s">
        <v>153</v>
      </c>
      <c r="F381" t="s">
        <v>153</v>
      </c>
      <c r="G381" t="s">
        <v>24</v>
      </c>
      <c r="H381" t="s">
        <v>21</v>
      </c>
      <c r="I381" t="s">
        <v>23</v>
      </c>
      <c r="J381" t="s">
        <v>14</v>
      </c>
      <c r="K381" t="s">
        <v>18</v>
      </c>
      <c r="L381" t="s">
        <v>1549</v>
      </c>
      <c r="M381" t="s">
        <v>1149</v>
      </c>
      <c r="N381">
        <v>2026</v>
      </c>
      <c r="O381" t="s">
        <v>133</v>
      </c>
      <c r="P381">
        <v>4</v>
      </c>
      <c r="Q381" t="s">
        <v>727</v>
      </c>
      <c r="R381" t="s">
        <v>17</v>
      </c>
      <c r="S381" t="str">
        <f t="shared" si="12"/>
        <v>2026-1690</v>
      </c>
      <c r="AP381">
        <v>46058.641030092593</v>
      </c>
      <c r="AR381">
        <v>46058.641030092593</v>
      </c>
    </row>
    <row r="382" spans="1:44" x14ac:dyDescent="0.25">
      <c r="A382">
        <v>1691</v>
      </c>
      <c r="B382" t="s">
        <v>166</v>
      </c>
      <c r="C382" t="s">
        <v>1550</v>
      </c>
      <c r="D382" t="s">
        <v>1551</v>
      </c>
      <c r="E382" t="s">
        <v>153</v>
      </c>
      <c r="F382" t="s">
        <v>153</v>
      </c>
      <c r="G382" t="s">
        <v>24</v>
      </c>
      <c r="H382" t="s">
        <v>21</v>
      </c>
      <c r="I382" t="s">
        <v>23</v>
      </c>
      <c r="J382" t="s">
        <v>14</v>
      </c>
      <c r="K382" t="s">
        <v>18</v>
      </c>
      <c r="L382" t="s">
        <v>1549</v>
      </c>
      <c r="M382" t="s">
        <v>1117</v>
      </c>
      <c r="N382">
        <v>2026</v>
      </c>
      <c r="O382" t="s">
        <v>133</v>
      </c>
      <c r="P382">
        <v>4</v>
      </c>
      <c r="Q382" t="s">
        <v>727</v>
      </c>
      <c r="R382" t="s">
        <v>17</v>
      </c>
      <c r="S382" t="str">
        <f t="shared" si="12"/>
        <v>2026-1691</v>
      </c>
      <c r="AP382">
        <v>46058.642488425925</v>
      </c>
      <c r="AR382">
        <v>46058.642488425925</v>
      </c>
    </row>
    <row r="383" spans="1:44" x14ac:dyDescent="0.25">
      <c r="A383">
        <v>1693</v>
      </c>
      <c r="B383" t="s">
        <v>63</v>
      </c>
      <c r="C383" t="s">
        <v>1575</v>
      </c>
      <c r="D383" t="s">
        <v>1576</v>
      </c>
      <c r="E383" t="s">
        <v>153</v>
      </c>
      <c r="F383" t="s">
        <v>75</v>
      </c>
      <c r="G383" t="s">
        <v>24</v>
      </c>
      <c r="H383" t="s">
        <v>21</v>
      </c>
      <c r="I383" t="s">
        <v>19</v>
      </c>
      <c r="J383" t="s">
        <v>20</v>
      </c>
      <c r="K383" t="s">
        <v>728</v>
      </c>
      <c r="L383" t="s">
        <v>1577</v>
      </c>
      <c r="M383" t="s">
        <v>1578</v>
      </c>
      <c r="N383">
        <v>2025</v>
      </c>
      <c r="O383" t="s">
        <v>150</v>
      </c>
      <c r="P383" t="s">
        <v>729</v>
      </c>
      <c r="Q383" t="s">
        <v>730</v>
      </c>
      <c r="R383" t="s">
        <v>17</v>
      </c>
      <c r="S383" t="s">
        <v>1601</v>
      </c>
      <c r="AP383">
        <v>46063.423761574071</v>
      </c>
      <c r="AR383">
        <v>46063.416655092595</v>
      </c>
    </row>
    <row r="384" spans="1:44" x14ac:dyDescent="0.25">
      <c r="A384">
        <v>1694</v>
      </c>
      <c r="B384" t="s">
        <v>63</v>
      </c>
      <c r="C384" t="s">
        <v>1579</v>
      </c>
      <c r="D384" t="s">
        <v>1580</v>
      </c>
      <c r="E384" t="s">
        <v>406</v>
      </c>
      <c r="F384" t="s">
        <v>460</v>
      </c>
      <c r="G384" t="s">
        <v>24</v>
      </c>
      <c r="H384" t="s">
        <v>21</v>
      </c>
      <c r="I384" t="s">
        <v>19</v>
      </c>
      <c r="J384" t="s">
        <v>20</v>
      </c>
      <c r="K384" t="s">
        <v>18</v>
      </c>
      <c r="L384" t="s">
        <v>1581</v>
      </c>
      <c r="M384" t="s">
        <v>1581</v>
      </c>
      <c r="N384">
        <v>2027</v>
      </c>
      <c r="O384" t="s">
        <v>133</v>
      </c>
      <c r="P384" t="s">
        <v>21</v>
      </c>
      <c r="Q384" t="s">
        <v>731</v>
      </c>
      <c r="R384" t="s">
        <v>24</v>
      </c>
      <c r="S384" t="s">
        <v>1602</v>
      </c>
      <c r="AP384">
        <v>46063.419675925928</v>
      </c>
      <c r="AR384">
        <v>46063.419675925928</v>
      </c>
    </row>
    <row r="385" spans="1:44" x14ac:dyDescent="0.25">
      <c r="A385">
        <v>1695</v>
      </c>
      <c r="B385" t="s">
        <v>63</v>
      </c>
      <c r="C385" t="s">
        <v>1582</v>
      </c>
      <c r="D385" t="s">
        <v>1583</v>
      </c>
      <c r="E385" t="s">
        <v>153</v>
      </c>
      <c r="F385" t="s">
        <v>75</v>
      </c>
      <c r="G385" t="s">
        <v>24</v>
      </c>
      <c r="H385" t="s">
        <v>21</v>
      </c>
      <c r="I385" t="s">
        <v>19</v>
      </c>
      <c r="J385" t="s">
        <v>20</v>
      </c>
      <c r="K385" t="s">
        <v>18</v>
      </c>
      <c r="L385" t="s">
        <v>1584</v>
      </c>
      <c r="M385" t="s">
        <v>374</v>
      </c>
      <c r="N385">
        <v>2026</v>
      </c>
      <c r="O385" t="s">
        <v>150</v>
      </c>
      <c r="P385" t="s">
        <v>21</v>
      </c>
      <c r="Q385" t="s">
        <v>917</v>
      </c>
      <c r="R385" t="s">
        <v>24</v>
      </c>
      <c r="S385" t="s">
        <v>1603</v>
      </c>
      <c r="AP385">
        <v>46063.423298611109</v>
      </c>
      <c r="AR385">
        <v>46063.423298611109</v>
      </c>
    </row>
    <row r="386" spans="1:44" x14ac:dyDescent="0.25">
      <c r="A386">
        <v>1696</v>
      </c>
      <c r="B386" t="s">
        <v>63</v>
      </c>
      <c r="C386" t="s">
        <v>1585</v>
      </c>
      <c r="D386" t="s">
        <v>1586</v>
      </c>
      <c r="E386" t="s">
        <v>153</v>
      </c>
      <c r="F386" t="s">
        <v>75</v>
      </c>
      <c r="G386" t="s">
        <v>24</v>
      </c>
      <c r="H386" t="s">
        <v>21</v>
      </c>
      <c r="I386" t="s">
        <v>19</v>
      </c>
      <c r="J386" t="s">
        <v>20</v>
      </c>
      <c r="K386" t="s">
        <v>18</v>
      </c>
      <c r="L386" t="s">
        <v>71</v>
      </c>
      <c r="M386" t="s">
        <v>1587</v>
      </c>
      <c r="N386">
        <v>2026</v>
      </c>
      <c r="O386" t="s">
        <v>150</v>
      </c>
      <c r="P386" t="s">
        <v>21</v>
      </c>
      <c r="Q386" t="s">
        <v>730</v>
      </c>
      <c r="R386" t="s">
        <v>17</v>
      </c>
      <c r="S386" t="s">
        <v>1604</v>
      </c>
      <c r="AP386">
        <v>46063.425682870373</v>
      </c>
      <c r="AR386">
        <v>46063.425682870373</v>
      </c>
    </row>
    <row r="387" spans="1:44" x14ac:dyDescent="0.25">
      <c r="A387">
        <v>1697</v>
      </c>
      <c r="B387" t="s">
        <v>63</v>
      </c>
      <c r="C387" t="s">
        <v>1588</v>
      </c>
      <c r="D387" t="s">
        <v>1589</v>
      </c>
      <c r="E387" t="s">
        <v>406</v>
      </c>
      <c r="F387" t="s">
        <v>460</v>
      </c>
      <c r="G387" t="s">
        <v>17</v>
      </c>
      <c r="H387" t="s">
        <v>677</v>
      </c>
      <c r="I387" t="s">
        <v>19</v>
      </c>
      <c r="J387" t="s">
        <v>20</v>
      </c>
      <c r="K387" t="s">
        <v>18</v>
      </c>
      <c r="L387" t="s">
        <v>1590</v>
      </c>
      <c r="M387" t="s">
        <v>1590</v>
      </c>
      <c r="N387">
        <v>2026</v>
      </c>
      <c r="O387" t="s">
        <v>150</v>
      </c>
      <c r="P387" t="s">
        <v>729</v>
      </c>
      <c r="Q387" t="s">
        <v>730</v>
      </c>
      <c r="R387" t="s">
        <v>17</v>
      </c>
      <c r="S387" t="s">
        <v>1605</v>
      </c>
      <c r="AP387">
        <v>46063.43141203704</v>
      </c>
      <c r="AR387">
        <v>46063.43141203704</v>
      </c>
    </row>
    <row r="388" spans="1:44" x14ac:dyDescent="0.25">
      <c r="A388">
        <v>1698</v>
      </c>
      <c r="B388" t="s">
        <v>63</v>
      </c>
      <c r="C388" t="s">
        <v>1591</v>
      </c>
      <c r="D388" t="s">
        <v>1592</v>
      </c>
      <c r="E388" t="s">
        <v>153</v>
      </c>
      <c r="F388" t="s">
        <v>75</v>
      </c>
      <c r="G388" t="s">
        <v>24</v>
      </c>
      <c r="H388" t="s">
        <v>21</v>
      </c>
      <c r="I388" t="s">
        <v>19</v>
      </c>
      <c r="J388" t="s">
        <v>20</v>
      </c>
      <c r="K388" t="s">
        <v>18</v>
      </c>
      <c r="L388" t="s">
        <v>1593</v>
      </c>
      <c r="M388" t="s">
        <v>1594</v>
      </c>
      <c r="N388">
        <v>2029</v>
      </c>
      <c r="O388" t="s">
        <v>150</v>
      </c>
      <c r="P388">
        <v>0.1</v>
      </c>
      <c r="Q388" t="s">
        <v>730</v>
      </c>
      <c r="R388" t="s">
        <v>17</v>
      </c>
      <c r="S388" t="s">
        <v>1606</v>
      </c>
      <c r="AP388">
        <v>46063.434340277781</v>
      </c>
      <c r="AR388">
        <v>46063.434340277781</v>
      </c>
    </row>
    <row r="389" spans="1:44" x14ac:dyDescent="0.25">
      <c r="A389">
        <v>1699</v>
      </c>
      <c r="B389" t="s">
        <v>63</v>
      </c>
      <c r="C389" t="s">
        <v>1595</v>
      </c>
      <c r="D389" t="s">
        <v>1596</v>
      </c>
      <c r="E389" t="s">
        <v>153</v>
      </c>
      <c r="F389" t="s">
        <v>75</v>
      </c>
      <c r="G389" t="s">
        <v>24</v>
      </c>
      <c r="H389" t="s">
        <v>21</v>
      </c>
      <c r="I389" t="s">
        <v>19</v>
      </c>
      <c r="J389" t="s">
        <v>20</v>
      </c>
      <c r="K389" t="s">
        <v>18</v>
      </c>
      <c r="L389" t="s">
        <v>969</v>
      </c>
      <c r="M389" t="s">
        <v>187</v>
      </c>
      <c r="N389">
        <v>2027</v>
      </c>
      <c r="O389" t="s">
        <v>150</v>
      </c>
      <c r="P389" t="s">
        <v>729</v>
      </c>
      <c r="Q389" t="s">
        <v>730</v>
      </c>
      <c r="R389" t="s">
        <v>17</v>
      </c>
      <c r="S389" t="s">
        <v>1607</v>
      </c>
      <c r="AP389">
        <v>46063.441747685189</v>
      </c>
      <c r="AR389">
        <v>46063.441747685189</v>
      </c>
    </row>
    <row r="390" spans="1:44" x14ac:dyDescent="0.25">
      <c r="A390">
        <v>1700</v>
      </c>
      <c r="B390" t="s">
        <v>63</v>
      </c>
      <c r="C390" t="s">
        <v>1597</v>
      </c>
      <c r="D390" t="s">
        <v>1598</v>
      </c>
      <c r="E390" t="s">
        <v>153</v>
      </c>
      <c r="F390" t="s">
        <v>75</v>
      </c>
      <c r="G390" t="s">
        <v>24</v>
      </c>
      <c r="H390" t="s">
        <v>21</v>
      </c>
      <c r="I390" t="s">
        <v>19</v>
      </c>
      <c r="J390" t="s">
        <v>20</v>
      </c>
      <c r="K390" t="s">
        <v>18</v>
      </c>
      <c r="L390" t="s">
        <v>1599</v>
      </c>
      <c r="M390" t="s">
        <v>1600</v>
      </c>
      <c r="N390">
        <v>2029</v>
      </c>
      <c r="O390" t="s">
        <v>133</v>
      </c>
      <c r="P390" t="s">
        <v>729</v>
      </c>
      <c r="Q390" t="s">
        <v>731</v>
      </c>
      <c r="R390" t="s">
        <v>17</v>
      </c>
      <c r="S390" t="s">
        <v>1608</v>
      </c>
      <c r="AP390">
        <v>46063.44332175926</v>
      </c>
      <c r="AR390">
        <v>46063.44332175926</v>
      </c>
    </row>
  </sheetData>
  <sheetProtection algorithmName="SHA-512" hashValue="42ClPjV4W+0OX7xRas/wrFtFEE2Pout6bBe6Unnm3Yx4rjBrcY9LVEB2ncFcG0r3YBTGLetYGKRo99D1xNcEQg==" saltValue="e9a9K1DnKCG4G2Q+ix91Fg==" spinCount="100000" sheet="1" objects="1" scenarios="1" autoFilter="0"/>
  <autoFilter ref="A1:AY390" xr:uid="{00000000-0001-0000-0100-000000000000}">
    <sortState xmlns:xlrd2="http://schemas.microsoft.com/office/spreadsheetml/2017/richdata2" ref="A2:AY390">
      <sortCondition ref="A2:A390"/>
    </sortState>
  </autoFilter>
  <sortState xmlns:xlrd2="http://schemas.microsoft.com/office/spreadsheetml/2017/richdata2" ref="A2:AR168">
    <sortCondition ref="B2:B168"/>
    <sortCondition ref="K2:K168" customList="Planned,Conceptual,Under Construction,Withdrawn,In-Service"/>
    <sortCondition ref="C2:C168"/>
  </sortState>
  <phoneticPr fontId="6" type="noConversion"/>
  <dataValidations count="2">
    <dataValidation type="list" showInputMessage="1" showErrorMessage="1" sqref="AW1" xr:uid="{00000000-0002-0000-0100-000000000000}">
      <formula1>$A$1:$AR$1</formula1>
    </dataValidation>
    <dataValidation type="list" allowBlank="1" showInputMessage="1" showErrorMessage="1" sqref="AX1:AY1" xr:uid="{00000000-0002-0000-0100-000001000000}">
      <formula1>$A$1:$AR$1</formula1>
    </dataValidation>
  </dataValidations>
  <pageMargins left="0.7" right="0.7" top="0.75" bottom="0.75" header="0.3" footer="0.3"/>
  <pageSetup scale="90"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pageSetUpPr fitToPage="1"/>
  </sheetPr>
  <dimension ref="A1:G100"/>
  <sheetViews>
    <sheetView showGridLines="0" topLeftCell="A13" zoomScale="130" zoomScaleNormal="130" workbookViewId="0">
      <selection activeCell="C17" sqref="C17"/>
    </sheetView>
  </sheetViews>
  <sheetFormatPr defaultColWidth="9.140625" defaultRowHeight="11.25" x14ac:dyDescent="0.25"/>
  <cols>
    <col min="1" max="1" width="41.140625" style="51" customWidth="1"/>
    <col min="2" max="2" width="24.7109375" style="51" hidden="1" customWidth="1"/>
    <col min="3" max="3" width="46.28515625" style="51" bestFit="1" customWidth="1"/>
    <col min="4" max="4" width="7.5703125" style="49" customWidth="1"/>
    <col min="5" max="5" width="43.140625" style="49" bestFit="1" customWidth="1"/>
    <col min="6" max="6" width="2.5703125" style="49" customWidth="1"/>
    <col min="7" max="7" width="17.42578125" style="49" customWidth="1"/>
    <col min="8" max="16384" width="9.140625" style="49"/>
  </cols>
  <sheetData>
    <row r="1" spans="1:5" ht="58.5" customHeight="1" x14ac:dyDescent="0.25">
      <c r="A1" s="119" t="s">
        <v>478</v>
      </c>
      <c r="B1" s="119"/>
      <c r="C1" s="119"/>
    </row>
    <row r="2" spans="1:5" ht="15.75" x14ac:dyDescent="0.25">
      <c r="A2" s="118" t="s">
        <v>124</v>
      </c>
      <c r="B2" s="118"/>
      <c r="C2" s="118"/>
      <c r="E2" s="50"/>
    </row>
    <row r="3" spans="1:5" x14ac:dyDescent="0.25">
      <c r="B3" s="51" t="s">
        <v>152</v>
      </c>
    </row>
    <row r="4" spans="1:5" x14ac:dyDescent="0.25">
      <c r="A4" s="52" t="s">
        <v>448</v>
      </c>
      <c r="B4" s="53" t="s">
        <v>103</v>
      </c>
      <c r="C4" s="102" t="str">
        <f ca="1">OFFSET(InService_FRM,0,2,1,1)&amp;"-"&amp;OFFSET(projectid_FRM,0,2,1,1)</f>
        <v>InService-projectid</v>
      </c>
      <c r="D4" s="49" t="s">
        <v>164</v>
      </c>
    </row>
    <row r="5" spans="1:5" x14ac:dyDescent="0.25">
      <c r="A5" s="52" t="s">
        <v>430</v>
      </c>
      <c r="B5" s="53" t="s">
        <v>9</v>
      </c>
      <c r="C5" s="103" t="s">
        <v>9</v>
      </c>
      <c r="D5" s="54" t="s">
        <v>151</v>
      </c>
    </row>
    <row r="6" spans="1:5" x14ac:dyDescent="0.25">
      <c r="A6" s="55" t="s">
        <v>447</v>
      </c>
      <c r="B6" s="56" t="s">
        <v>105</v>
      </c>
      <c r="C6" s="112" t="s">
        <v>127</v>
      </c>
      <c r="D6" s="49" t="s">
        <v>164</v>
      </c>
    </row>
    <row r="7" spans="1:5" x14ac:dyDescent="0.25">
      <c r="A7" s="57"/>
      <c r="B7" s="57"/>
      <c r="C7" s="58"/>
    </row>
    <row r="8" spans="1:5" x14ac:dyDescent="0.25">
      <c r="A8" s="57"/>
      <c r="B8" s="57"/>
      <c r="C8" s="58"/>
    </row>
    <row r="9" spans="1:5" x14ac:dyDescent="0.25">
      <c r="A9" s="59" t="s">
        <v>123</v>
      </c>
      <c r="B9" s="59"/>
      <c r="C9" s="60"/>
    </row>
    <row r="10" spans="1:5" x14ac:dyDescent="0.25">
      <c r="A10" s="52" t="s">
        <v>446</v>
      </c>
      <c r="B10" s="53" t="s">
        <v>0</v>
      </c>
      <c r="C10" s="103" t="s">
        <v>0</v>
      </c>
      <c r="D10" s="54" t="s">
        <v>151</v>
      </c>
    </row>
    <row r="11" spans="1:5" x14ac:dyDescent="0.25">
      <c r="A11" s="52" t="s">
        <v>445</v>
      </c>
      <c r="B11" s="53" t="s">
        <v>6</v>
      </c>
      <c r="C11" s="103" t="s">
        <v>6</v>
      </c>
      <c r="D11" s="54" t="s">
        <v>151</v>
      </c>
    </row>
    <row r="12" spans="1:5" x14ac:dyDescent="0.25">
      <c r="A12" s="52" t="s">
        <v>444</v>
      </c>
      <c r="B12" s="53" t="s">
        <v>457</v>
      </c>
      <c r="C12" s="103" t="s">
        <v>457</v>
      </c>
      <c r="D12" s="54" t="s">
        <v>151</v>
      </c>
    </row>
    <row r="13" spans="1:5" ht="45" x14ac:dyDescent="0.25">
      <c r="A13" s="53" t="s">
        <v>521</v>
      </c>
      <c r="B13" s="53" t="s">
        <v>462</v>
      </c>
      <c r="C13" s="104" t="s">
        <v>462</v>
      </c>
      <c r="D13" s="54" t="s">
        <v>151</v>
      </c>
    </row>
    <row r="14" spans="1:5" ht="56.25" x14ac:dyDescent="0.25">
      <c r="A14" s="52" t="s">
        <v>516</v>
      </c>
      <c r="B14" s="53" t="s">
        <v>461</v>
      </c>
      <c r="C14" s="103" t="s">
        <v>461</v>
      </c>
      <c r="D14" s="54" t="s">
        <v>151</v>
      </c>
    </row>
    <row r="15" spans="1:5" x14ac:dyDescent="0.25">
      <c r="A15" s="55" t="s">
        <v>456</v>
      </c>
      <c r="B15" s="61" t="s">
        <v>254</v>
      </c>
      <c r="C15" s="103" t="s">
        <v>254</v>
      </c>
      <c r="D15" s="54" t="s">
        <v>151</v>
      </c>
    </row>
    <row r="16" spans="1:5" x14ac:dyDescent="0.25">
      <c r="A16" s="55" t="s">
        <v>449</v>
      </c>
      <c r="B16" s="53" t="s">
        <v>1</v>
      </c>
      <c r="C16" s="104" t="s">
        <v>1</v>
      </c>
      <c r="D16" s="54" t="s">
        <v>151</v>
      </c>
    </row>
    <row r="17" spans="1:5" ht="22.5" x14ac:dyDescent="0.25">
      <c r="A17" s="55" t="s">
        <v>450</v>
      </c>
      <c r="B17" s="53" t="s">
        <v>2</v>
      </c>
      <c r="C17" s="103" t="s">
        <v>2</v>
      </c>
      <c r="D17" s="54" t="s">
        <v>151</v>
      </c>
    </row>
    <row r="18" spans="1:5" x14ac:dyDescent="0.25">
      <c r="A18" s="52" t="s">
        <v>455</v>
      </c>
      <c r="B18" s="53" t="s">
        <v>5</v>
      </c>
      <c r="C18" s="104" t="s">
        <v>5</v>
      </c>
      <c r="D18" s="54" t="s">
        <v>151</v>
      </c>
      <c r="E18" s="99" t="s">
        <v>463</v>
      </c>
    </row>
    <row r="19" spans="1:5" x14ac:dyDescent="0.25">
      <c r="A19" s="52" t="s">
        <v>452</v>
      </c>
      <c r="B19" s="53" t="s">
        <v>3</v>
      </c>
      <c r="C19" s="103" t="s">
        <v>3</v>
      </c>
      <c r="D19" s="54" t="s">
        <v>151</v>
      </c>
    </row>
    <row r="20" spans="1:5" x14ac:dyDescent="0.25">
      <c r="A20" s="52" t="s">
        <v>453</v>
      </c>
      <c r="B20" s="53" t="s">
        <v>4</v>
      </c>
      <c r="C20" s="103" t="s">
        <v>4</v>
      </c>
      <c r="D20" s="54" t="s">
        <v>151</v>
      </c>
    </row>
    <row r="21" spans="1:5" x14ac:dyDescent="0.25">
      <c r="A21" s="52" t="s">
        <v>454</v>
      </c>
      <c r="B21" s="53" t="s">
        <v>8</v>
      </c>
      <c r="C21" s="104" t="s">
        <v>8</v>
      </c>
      <c r="D21" s="54" t="s">
        <v>151</v>
      </c>
    </row>
    <row r="22" spans="1:5" x14ac:dyDescent="0.25">
      <c r="A22" s="52" t="s">
        <v>451</v>
      </c>
      <c r="B22" s="56" t="s">
        <v>125</v>
      </c>
      <c r="C22" s="103" t="s">
        <v>125</v>
      </c>
      <c r="D22" s="54" t="s">
        <v>151</v>
      </c>
    </row>
    <row r="23" spans="1:5" x14ac:dyDescent="0.25">
      <c r="A23" s="57"/>
      <c r="B23" s="57"/>
      <c r="C23" s="58"/>
    </row>
    <row r="24" spans="1:5" x14ac:dyDescent="0.25">
      <c r="A24" s="59" t="s">
        <v>719</v>
      </c>
      <c r="B24" s="59"/>
      <c r="C24" s="60"/>
    </row>
    <row r="25" spans="1:5" ht="33.75" x14ac:dyDescent="0.25">
      <c r="A25" s="52" t="s">
        <v>722</v>
      </c>
      <c r="B25" s="56" t="s">
        <v>691</v>
      </c>
      <c r="C25" s="103" t="s">
        <v>691</v>
      </c>
      <c r="D25" s="54" t="s">
        <v>151</v>
      </c>
    </row>
    <row r="26" spans="1:5" x14ac:dyDescent="0.25">
      <c r="A26" s="52" t="s">
        <v>721</v>
      </c>
      <c r="B26" s="56" t="s">
        <v>693</v>
      </c>
      <c r="C26" s="103" t="s">
        <v>693</v>
      </c>
      <c r="D26" s="54" t="s">
        <v>151</v>
      </c>
    </row>
    <row r="27" spans="1:5" x14ac:dyDescent="0.25">
      <c r="A27" s="52" t="s">
        <v>720</v>
      </c>
      <c r="B27" s="56" t="s">
        <v>692</v>
      </c>
      <c r="C27" s="103" t="s">
        <v>692</v>
      </c>
      <c r="D27" s="54"/>
    </row>
    <row r="28" spans="1:5" x14ac:dyDescent="0.25">
      <c r="A28" s="57"/>
      <c r="B28" s="57"/>
      <c r="C28" s="58"/>
    </row>
    <row r="29" spans="1:5" x14ac:dyDescent="0.25">
      <c r="A29" s="59" t="s">
        <v>122</v>
      </c>
      <c r="B29" s="59"/>
      <c r="C29" s="60"/>
    </row>
    <row r="30" spans="1:5" x14ac:dyDescent="0.25">
      <c r="A30" s="52" t="s">
        <v>517</v>
      </c>
      <c r="B30" s="53" t="s">
        <v>507</v>
      </c>
      <c r="C30" s="105" t="s">
        <v>507</v>
      </c>
      <c r="D30" s="54" t="s">
        <v>151</v>
      </c>
    </row>
    <row r="31" spans="1:5" x14ac:dyDescent="0.25">
      <c r="A31" s="52" t="s">
        <v>518</v>
      </c>
      <c r="B31" s="53" t="s">
        <v>7</v>
      </c>
      <c r="C31" s="103" t="s">
        <v>7</v>
      </c>
      <c r="D31" s="54" t="s">
        <v>151</v>
      </c>
    </row>
    <row r="32" spans="1:5" x14ac:dyDescent="0.25">
      <c r="A32" s="52" t="s">
        <v>519</v>
      </c>
      <c r="B32" s="53" t="s">
        <v>10</v>
      </c>
      <c r="C32" s="103" t="s">
        <v>10</v>
      </c>
      <c r="D32" s="54" t="s">
        <v>151</v>
      </c>
    </row>
    <row r="33" spans="1:5" x14ac:dyDescent="0.25">
      <c r="A33" s="52" t="s">
        <v>520</v>
      </c>
      <c r="B33" s="53" t="s">
        <v>11</v>
      </c>
      <c r="C33" s="103" t="s">
        <v>11</v>
      </c>
      <c r="D33" s="54" t="s">
        <v>151</v>
      </c>
    </row>
    <row r="34" spans="1:5" x14ac:dyDescent="0.25">
      <c r="C34" s="62"/>
    </row>
    <row r="35" spans="1:5" x14ac:dyDescent="0.25">
      <c r="A35" s="52" t="s">
        <v>156</v>
      </c>
      <c r="B35" s="53" t="s">
        <v>13</v>
      </c>
      <c r="C35" s="106" t="s">
        <v>13</v>
      </c>
      <c r="D35" s="49" t="s">
        <v>164</v>
      </c>
    </row>
    <row r="36" spans="1:5" x14ac:dyDescent="0.25">
      <c r="A36" s="57"/>
      <c r="B36" s="63"/>
      <c r="C36" s="64"/>
    </row>
    <row r="37" spans="1:5" ht="15.75" x14ac:dyDescent="0.25">
      <c r="A37" s="69" t="s">
        <v>509</v>
      </c>
      <c r="B37" s="70"/>
      <c r="C37" s="71"/>
      <c r="D37" s="70"/>
    </row>
    <row r="38" spans="1:5" x14ac:dyDescent="0.25">
      <c r="A38" s="57"/>
      <c r="B38" s="57"/>
      <c r="C38" s="58"/>
    </row>
    <row r="39" spans="1:5" x14ac:dyDescent="0.25">
      <c r="A39" s="59" t="s">
        <v>510</v>
      </c>
      <c r="B39" s="59"/>
      <c r="C39" s="60"/>
    </row>
    <row r="40" spans="1:5" x14ac:dyDescent="0.25">
      <c r="A40" s="73" t="s">
        <v>211</v>
      </c>
      <c r="B40" s="70" t="s">
        <v>226</v>
      </c>
      <c r="C40" s="107" t="s">
        <v>226</v>
      </c>
      <c r="D40" s="70"/>
    </row>
    <row r="41" spans="1:5" ht="45" x14ac:dyDescent="0.25">
      <c r="A41" s="73" t="s">
        <v>466</v>
      </c>
      <c r="B41" s="70" t="s">
        <v>227</v>
      </c>
      <c r="C41" s="105" t="s">
        <v>227</v>
      </c>
      <c r="D41" s="70"/>
      <c r="E41" s="99" t="s">
        <v>464</v>
      </c>
    </row>
    <row r="42" spans="1:5" ht="78.75" x14ac:dyDescent="0.25">
      <c r="A42" s="74" t="s">
        <v>467</v>
      </c>
      <c r="B42" s="70" t="s">
        <v>228</v>
      </c>
      <c r="C42" s="105" t="s">
        <v>228</v>
      </c>
      <c r="D42" s="70"/>
      <c r="E42" s="99" t="s">
        <v>464</v>
      </c>
    </row>
    <row r="43" spans="1:5" ht="45" x14ac:dyDescent="0.25">
      <c r="A43" s="73" t="s">
        <v>477</v>
      </c>
      <c r="B43" s="70" t="s">
        <v>229</v>
      </c>
      <c r="C43" s="107" t="s">
        <v>229</v>
      </c>
      <c r="D43" s="70"/>
      <c r="E43" s="99" t="s">
        <v>465</v>
      </c>
    </row>
    <row r="44" spans="1:5" ht="56.25" x14ac:dyDescent="0.25">
      <c r="A44" s="73" t="s">
        <v>468</v>
      </c>
      <c r="B44" s="70" t="s">
        <v>230</v>
      </c>
      <c r="C44" s="105" t="s">
        <v>230</v>
      </c>
      <c r="D44" s="70"/>
      <c r="E44" s="100" t="s">
        <v>473</v>
      </c>
    </row>
    <row r="45" spans="1:5" ht="33.75" x14ac:dyDescent="0.25">
      <c r="A45" s="74" t="s">
        <v>472</v>
      </c>
      <c r="B45" s="70" t="s">
        <v>469</v>
      </c>
      <c r="C45" s="107" t="s">
        <v>469</v>
      </c>
      <c r="D45" s="70"/>
      <c r="E45" s="100" t="s">
        <v>473</v>
      </c>
    </row>
    <row r="46" spans="1:5" ht="33.75" x14ac:dyDescent="0.25">
      <c r="A46" s="74" t="s">
        <v>471</v>
      </c>
      <c r="B46" s="70" t="s">
        <v>470</v>
      </c>
      <c r="C46" s="107" t="s">
        <v>470</v>
      </c>
      <c r="D46" s="70"/>
      <c r="E46" s="100" t="s">
        <v>473</v>
      </c>
    </row>
    <row r="47" spans="1:5" ht="67.5" x14ac:dyDescent="0.25">
      <c r="A47" s="73" t="s">
        <v>475</v>
      </c>
      <c r="B47" s="70" t="s">
        <v>257</v>
      </c>
      <c r="C47" s="105" t="s">
        <v>257</v>
      </c>
      <c r="D47" s="70"/>
      <c r="E47" s="100" t="s">
        <v>474</v>
      </c>
    </row>
    <row r="48" spans="1:5" ht="123.75" x14ac:dyDescent="0.25">
      <c r="A48" s="74" t="s">
        <v>506</v>
      </c>
      <c r="B48" s="70" t="s">
        <v>256</v>
      </c>
      <c r="C48" s="107" t="s">
        <v>256</v>
      </c>
      <c r="D48" s="70"/>
      <c r="E48" s="100" t="s">
        <v>474</v>
      </c>
    </row>
    <row r="49" spans="1:5" ht="22.5" x14ac:dyDescent="0.25">
      <c r="A49" s="73" t="s">
        <v>492</v>
      </c>
      <c r="B49" s="70" t="s">
        <v>481</v>
      </c>
      <c r="C49" s="105" t="s">
        <v>481</v>
      </c>
      <c r="D49" s="70"/>
      <c r="E49" s="100" t="s">
        <v>484</v>
      </c>
    </row>
    <row r="50" spans="1:5" x14ac:dyDescent="0.25">
      <c r="A50" s="74" t="s">
        <v>486</v>
      </c>
      <c r="B50" s="70" t="s">
        <v>480</v>
      </c>
      <c r="C50" s="105" t="s">
        <v>480</v>
      </c>
      <c r="D50" s="70"/>
      <c r="E50" s="100" t="s">
        <v>484</v>
      </c>
    </row>
    <row r="51" spans="1:5" ht="22.5" x14ac:dyDescent="0.25">
      <c r="A51" s="73" t="s">
        <v>493</v>
      </c>
      <c r="B51" s="70" t="s">
        <v>482</v>
      </c>
      <c r="C51" s="105" t="s">
        <v>482</v>
      </c>
      <c r="D51" s="70"/>
      <c r="E51" s="100" t="s">
        <v>485</v>
      </c>
    </row>
    <row r="52" spans="1:5" ht="22.5" x14ac:dyDescent="0.25">
      <c r="A52" s="74" t="s">
        <v>487</v>
      </c>
      <c r="B52" s="70" t="s">
        <v>483</v>
      </c>
      <c r="C52" s="105" t="s">
        <v>483</v>
      </c>
      <c r="D52" s="70"/>
      <c r="E52" s="100" t="s">
        <v>485</v>
      </c>
    </row>
    <row r="53" spans="1:5" x14ac:dyDescent="0.25">
      <c r="A53" s="57"/>
      <c r="B53" s="57"/>
      <c r="C53" s="58"/>
    </row>
    <row r="54" spans="1:5" x14ac:dyDescent="0.25">
      <c r="A54" s="72" t="s">
        <v>511</v>
      </c>
      <c r="B54" s="70"/>
      <c r="C54" s="70"/>
      <c r="D54" s="70"/>
    </row>
    <row r="55" spans="1:5" ht="45" x14ac:dyDescent="0.25">
      <c r="A55" s="73" t="s">
        <v>505</v>
      </c>
      <c r="B55" s="98" t="s">
        <v>495</v>
      </c>
      <c r="C55" s="105" t="s">
        <v>495</v>
      </c>
      <c r="D55" s="70"/>
      <c r="E55" s="100" t="s">
        <v>476</v>
      </c>
    </row>
    <row r="56" spans="1:5" x14ac:dyDescent="0.25">
      <c r="A56" s="74" t="s">
        <v>496</v>
      </c>
      <c r="B56" s="98" t="s">
        <v>499</v>
      </c>
      <c r="C56" s="107" t="s">
        <v>499</v>
      </c>
      <c r="D56" s="70"/>
      <c r="E56" s="100" t="s">
        <v>476</v>
      </c>
    </row>
    <row r="57" spans="1:5" ht="22.5" x14ac:dyDescent="0.25">
      <c r="A57" s="97" t="s">
        <v>497</v>
      </c>
      <c r="B57" s="70" t="s">
        <v>500</v>
      </c>
      <c r="C57" s="108" t="s">
        <v>500</v>
      </c>
      <c r="D57" s="70"/>
      <c r="E57" s="100" t="s">
        <v>476</v>
      </c>
    </row>
    <row r="58" spans="1:5" ht="22.5" x14ac:dyDescent="0.25">
      <c r="A58" s="74" t="s">
        <v>498</v>
      </c>
      <c r="B58" s="70" t="s">
        <v>501</v>
      </c>
      <c r="C58" s="107" t="s">
        <v>501</v>
      </c>
      <c r="D58" s="70"/>
      <c r="E58" s="100" t="s">
        <v>476</v>
      </c>
    </row>
    <row r="59" spans="1:5" ht="45" x14ac:dyDescent="0.25">
      <c r="A59" s="74" t="s">
        <v>491</v>
      </c>
      <c r="B59" s="70" t="s">
        <v>502</v>
      </c>
      <c r="C59" s="107" t="s">
        <v>502</v>
      </c>
      <c r="D59" s="70"/>
      <c r="E59" s="100" t="s">
        <v>476</v>
      </c>
    </row>
    <row r="60" spans="1:5" ht="101.25" x14ac:dyDescent="0.25">
      <c r="A60" s="74" t="s">
        <v>490</v>
      </c>
      <c r="B60" s="70" t="s">
        <v>503</v>
      </c>
      <c r="C60" s="105" t="s">
        <v>503</v>
      </c>
      <c r="D60" s="70"/>
      <c r="E60" s="100" t="s">
        <v>488</v>
      </c>
    </row>
    <row r="61" spans="1:5" ht="56.25" x14ac:dyDescent="0.25">
      <c r="A61" s="74" t="s">
        <v>494</v>
      </c>
      <c r="B61" s="96" t="s">
        <v>504</v>
      </c>
      <c r="C61" s="105" t="s">
        <v>504</v>
      </c>
      <c r="D61" s="70"/>
      <c r="E61" s="100" t="s">
        <v>489</v>
      </c>
    </row>
    <row r="62" spans="1:5" x14ac:dyDescent="0.25">
      <c r="A62" s="57"/>
      <c r="B62" s="57"/>
      <c r="C62" s="58"/>
    </row>
    <row r="63" spans="1:5" x14ac:dyDescent="0.25">
      <c r="A63" s="59" t="s">
        <v>122</v>
      </c>
      <c r="B63" s="59"/>
      <c r="C63" s="60"/>
    </row>
    <row r="64" spans="1:5" ht="45" x14ac:dyDescent="0.25">
      <c r="A64" s="73" t="s">
        <v>212</v>
      </c>
      <c r="B64" s="70" t="s">
        <v>479</v>
      </c>
      <c r="C64" s="107" t="s">
        <v>479</v>
      </c>
      <c r="D64" s="70"/>
    </row>
    <row r="65" spans="1:4" x14ac:dyDescent="0.25">
      <c r="A65" s="73" t="s">
        <v>213</v>
      </c>
      <c r="B65" s="70" t="s">
        <v>231</v>
      </c>
      <c r="C65" s="107" t="s">
        <v>231</v>
      </c>
      <c r="D65" s="70"/>
    </row>
    <row r="66" spans="1:4" x14ac:dyDescent="0.25">
      <c r="A66" s="73" t="s">
        <v>214</v>
      </c>
      <c r="B66" s="70" t="s">
        <v>232</v>
      </c>
      <c r="C66" s="107" t="s">
        <v>232</v>
      </c>
      <c r="D66" s="70"/>
    </row>
    <row r="67" spans="1:4" x14ac:dyDescent="0.25">
      <c r="A67" s="73" t="s">
        <v>215</v>
      </c>
      <c r="B67" s="70" t="s">
        <v>233</v>
      </c>
      <c r="C67" s="107" t="s">
        <v>233</v>
      </c>
      <c r="D67" s="70"/>
    </row>
    <row r="68" spans="1:4" x14ac:dyDescent="0.25">
      <c r="A68" s="73" t="s">
        <v>216</v>
      </c>
      <c r="B68" s="70" t="s">
        <v>234</v>
      </c>
      <c r="C68" s="107" t="s">
        <v>234</v>
      </c>
      <c r="D68" s="70"/>
    </row>
    <row r="69" spans="1:4" x14ac:dyDescent="0.25">
      <c r="A69" s="73" t="s">
        <v>217</v>
      </c>
      <c r="B69" s="70" t="s">
        <v>235</v>
      </c>
      <c r="C69" s="107" t="s">
        <v>235</v>
      </c>
      <c r="D69" s="70"/>
    </row>
    <row r="70" spans="1:4" x14ac:dyDescent="0.25">
      <c r="A70" s="73" t="s">
        <v>218</v>
      </c>
      <c r="B70" s="70" t="s">
        <v>243</v>
      </c>
      <c r="C70" s="107" t="s">
        <v>243</v>
      </c>
      <c r="D70" s="70"/>
    </row>
    <row r="71" spans="1:4" x14ac:dyDescent="0.25">
      <c r="A71" s="73" t="s">
        <v>219</v>
      </c>
      <c r="B71" s="70" t="s">
        <v>244</v>
      </c>
      <c r="C71" s="107" t="s">
        <v>244</v>
      </c>
      <c r="D71" s="70"/>
    </row>
    <row r="72" spans="1:4" x14ac:dyDescent="0.25">
      <c r="A72" s="73" t="s">
        <v>220</v>
      </c>
      <c r="B72" s="70" t="s">
        <v>236</v>
      </c>
      <c r="C72" s="107" t="s">
        <v>236</v>
      </c>
      <c r="D72" s="70"/>
    </row>
    <row r="73" spans="1:4" x14ac:dyDescent="0.25">
      <c r="A73" s="73" t="s">
        <v>221</v>
      </c>
      <c r="B73" s="70" t="s">
        <v>237</v>
      </c>
      <c r="C73" s="107" t="s">
        <v>237</v>
      </c>
      <c r="D73" s="70"/>
    </row>
    <row r="74" spans="1:4" x14ac:dyDescent="0.25">
      <c r="A74" s="73" t="s">
        <v>222</v>
      </c>
      <c r="B74" s="70" t="s">
        <v>238</v>
      </c>
      <c r="C74" s="107" t="s">
        <v>238</v>
      </c>
      <c r="D74" s="70"/>
    </row>
    <row r="75" spans="1:4" x14ac:dyDescent="0.25">
      <c r="A75" s="73" t="s">
        <v>223</v>
      </c>
      <c r="B75" s="70" t="s">
        <v>239</v>
      </c>
      <c r="C75" s="107" t="s">
        <v>239</v>
      </c>
      <c r="D75" s="70"/>
    </row>
    <row r="76" spans="1:4" x14ac:dyDescent="0.25">
      <c r="A76" s="73" t="s">
        <v>224</v>
      </c>
      <c r="B76" s="70" t="s">
        <v>240</v>
      </c>
      <c r="C76" s="107" t="s">
        <v>240</v>
      </c>
      <c r="D76" s="70"/>
    </row>
    <row r="77" spans="1:4" x14ac:dyDescent="0.25">
      <c r="A77" s="73" t="s">
        <v>225</v>
      </c>
      <c r="B77" s="70" t="s">
        <v>241</v>
      </c>
      <c r="C77" s="107" t="s">
        <v>241</v>
      </c>
      <c r="D77" s="70"/>
    </row>
    <row r="78" spans="1:4" x14ac:dyDescent="0.25">
      <c r="A78" s="75"/>
      <c r="B78" s="70"/>
      <c r="C78" s="76"/>
      <c r="D78" s="70"/>
    </row>
    <row r="79" spans="1:4" ht="15.75" x14ac:dyDescent="0.25">
      <c r="A79" s="101" t="s">
        <v>515</v>
      </c>
      <c r="B79" s="101"/>
      <c r="C79" s="101"/>
      <c r="D79" s="70"/>
    </row>
    <row r="80" spans="1:4" x14ac:dyDescent="0.25">
      <c r="A80" s="77"/>
      <c r="B80" s="70"/>
      <c r="C80" s="71"/>
      <c r="D80" s="70"/>
    </row>
    <row r="81" spans="1:5" x14ac:dyDescent="0.25">
      <c r="A81" s="77"/>
      <c r="B81" s="77"/>
      <c r="C81" s="78"/>
      <c r="D81" s="70"/>
    </row>
    <row r="82" spans="1:5" x14ac:dyDescent="0.25">
      <c r="A82" s="77"/>
      <c r="B82" s="77"/>
      <c r="C82" s="78"/>
      <c r="D82" s="70"/>
    </row>
    <row r="83" spans="1:5" x14ac:dyDescent="0.25">
      <c r="A83" s="79" t="s">
        <v>245</v>
      </c>
      <c r="B83" s="79"/>
      <c r="C83" s="80">
        <v>1</v>
      </c>
      <c r="D83" s="70"/>
    </row>
    <row r="84" spans="1:5" x14ac:dyDescent="0.25">
      <c r="A84" s="79"/>
      <c r="B84" s="79"/>
      <c r="C84" s="80"/>
      <c r="D84" s="70"/>
    </row>
    <row r="85" spans="1:5" x14ac:dyDescent="0.25">
      <c r="A85" s="70"/>
      <c r="B85" s="70"/>
      <c r="C85" s="70"/>
      <c r="D85" s="70"/>
    </row>
    <row r="86" spans="1:5" x14ac:dyDescent="0.25">
      <c r="A86" s="79"/>
      <c r="B86" s="79"/>
      <c r="C86" s="79"/>
      <c r="D86" s="70"/>
    </row>
    <row r="87" spans="1:5" x14ac:dyDescent="0.25">
      <c r="A87" s="70"/>
      <c r="B87" s="70"/>
      <c r="C87" s="70"/>
      <c r="D87" s="70"/>
    </row>
    <row r="88" spans="1:5" x14ac:dyDescent="0.25">
      <c r="A88" s="79" t="s">
        <v>12</v>
      </c>
      <c r="B88" s="81" t="s">
        <v>12</v>
      </c>
      <c r="C88" s="109" t="s">
        <v>12</v>
      </c>
      <c r="D88" s="70"/>
    </row>
    <row r="89" spans="1:5" x14ac:dyDescent="0.25">
      <c r="A89" s="70"/>
      <c r="B89" s="70"/>
      <c r="C89" s="70"/>
      <c r="D89" s="70"/>
    </row>
    <row r="90" spans="1:5" x14ac:dyDescent="0.25">
      <c r="A90" s="79"/>
      <c r="B90" s="79"/>
      <c r="C90" s="79"/>
      <c r="D90" s="77"/>
      <c r="E90" s="51"/>
    </row>
    <row r="91" spans="1:5" x14ac:dyDescent="0.25">
      <c r="A91" s="79" t="s">
        <v>128</v>
      </c>
      <c r="B91" s="82" t="s">
        <v>128</v>
      </c>
      <c r="C91" s="110" t="s">
        <v>128</v>
      </c>
      <c r="D91" s="70"/>
    </row>
    <row r="92" spans="1:5" x14ac:dyDescent="0.25">
      <c r="A92" s="79" t="s">
        <v>289</v>
      </c>
      <c r="B92" s="79" t="s">
        <v>288</v>
      </c>
      <c r="C92" s="111" t="s">
        <v>288</v>
      </c>
      <c r="D92" s="70"/>
    </row>
    <row r="93" spans="1:5" x14ac:dyDescent="0.25">
      <c r="A93" s="79" t="s">
        <v>129</v>
      </c>
      <c r="B93" s="79" t="s">
        <v>129</v>
      </c>
      <c r="C93" s="110" t="s">
        <v>129</v>
      </c>
      <c r="D93" s="70"/>
    </row>
    <row r="94" spans="1:5" x14ac:dyDescent="0.25">
      <c r="A94" s="79"/>
      <c r="B94" s="77"/>
      <c r="C94" s="79"/>
      <c r="D94" s="70"/>
    </row>
    <row r="95" spans="1:5" x14ac:dyDescent="0.25">
      <c r="A95" s="79" t="s">
        <v>157</v>
      </c>
      <c r="B95" s="79" t="s">
        <v>210</v>
      </c>
      <c r="C95" s="79" t="b">
        <v>0</v>
      </c>
      <c r="D95" s="70"/>
    </row>
    <row r="96" spans="1:5" ht="12" thickBot="1" x14ac:dyDescent="0.3">
      <c r="A96" s="79"/>
      <c r="B96" s="79" t="s">
        <v>242</v>
      </c>
      <c r="C96" s="79"/>
      <c r="D96" s="70"/>
    </row>
    <row r="97" spans="1:7" ht="12" thickBot="1" x14ac:dyDescent="0.3">
      <c r="A97" s="83" t="s">
        <v>255</v>
      </c>
      <c r="B97" s="84"/>
      <c r="C97" s="84" t="s">
        <v>250</v>
      </c>
      <c r="D97" s="85" t="s">
        <v>251</v>
      </c>
      <c r="E97" s="65" t="s">
        <v>252</v>
      </c>
      <c r="F97" s="120" t="s">
        <v>253</v>
      </c>
      <c r="G97" s="121"/>
    </row>
    <row r="98" spans="1:7" x14ac:dyDescent="0.25">
      <c r="A98" s="86" t="s">
        <v>246</v>
      </c>
      <c r="B98" s="87"/>
      <c r="C98" s="88" t="s">
        <v>249</v>
      </c>
      <c r="D98" s="89" t="s">
        <v>512</v>
      </c>
      <c r="E98" s="66">
        <v>1</v>
      </c>
      <c r="F98" s="122">
        <v>1</v>
      </c>
      <c r="G98" s="123"/>
    </row>
    <row r="99" spans="1:7" x14ac:dyDescent="0.25">
      <c r="A99" s="90" t="s">
        <v>247</v>
      </c>
      <c r="B99" s="91"/>
      <c r="C99" s="92" t="s">
        <v>249</v>
      </c>
      <c r="D99" s="92" t="s">
        <v>513</v>
      </c>
      <c r="E99" s="67">
        <v>1</v>
      </c>
      <c r="F99" s="124">
        <v>4</v>
      </c>
      <c r="G99" s="125"/>
    </row>
    <row r="100" spans="1:7" ht="12" thickBot="1" x14ac:dyDescent="0.3">
      <c r="A100" s="93" t="s">
        <v>248</v>
      </c>
      <c r="B100" s="94"/>
      <c r="C100" s="95" t="s">
        <v>249</v>
      </c>
      <c r="D100" s="95" t="s">
        <v>514</v>
      </c>
      <c r="E100" s="68">
        <v>1</v>
      </c>
      <c r="F100" s="116">
        <v>5</v>
      </c>
      <c r="G100" s="117"/>
    </row>
  </sheetData>
  <sheetProtection algorithmName="SHA-512" hashValue="jeTOuqPjtWti/PeuLXK6dLhU8I/vgwBnYyugYY1L6+LaAW0VL5+pTPy/0irtBMT7OPMhWO5gc/Sb0086+UW3aw==" saltValue="EbTyzBB7vjLMONtU21D0Ng==" spinCount="100000" sheet="1" objects="1" scenarios="1"/>
  <mergeCells count="6">
    <mergeCell ref="F100:G100"/>
    <mergeCell ref="A2:C2"/>
    <mergeCell ref="A1:C1"/>
    <mergeCell ref="F97:G97"/>
    <mergeCell ref="F98:G98"/>
    <mergeCell ref="F99:G99"/>
  </mergeCells>
  <phoneticPr fontId="6" type="noConversion"/>
  <dataValidations count="10">
    <dataValidation type="list" allowBlank="1" showInputMessage="1" showErrorMessage="1" sqref="C15" xr:uid="{00000000-0002-0000-0200-000000000000}">
      <formula1>"Transmission Line, Substation, Other"</formula1>
    </dataValidation>
    <dataValidation type="list" showInputMessage="1" showErrorMessage="1" sqref="C16" xr:uid="{00000000-0002-0000-0200-000003000000}">
      <formula1>"600 kV DC,500 kV DC,500 kV AC,345 kV,230 kV,161 kV,138 kV,115 kV,Below 115 kV,TBD"</formula1>
    </dataValidation>
    <dataValidation type="list" showInputMessage="1" showErrorMessage="1" sqref="C22" xr:uid="{00000000-0002-0000-0200-000004000000}">
      <formula1>"N/A,CCPG,SSPG,SWAT,REGIONAL,CCPG and SSPG,CCPG and SWAT,SSPG and SWAT"</formula1>
    </dataValidation>
    <dataValidation type="list" allowBlank="1" showInputMessage="1" showErrorMessage="1" sqref="C51 C30 C44 C47 C55 C49 C41" xr:uid="{00000000-0002-0000-0200-000005000000}">
      <formula1>"Yes,No"</formula1>
    </dataValidation>
    <dataValidation type="list" allowBlank="1" showInputMessage="1" showErrorMessage="1" sqref="C55" xr:uid="{00000000-0002-0000-0200-000007000000}">
      <formula1>"Yes,No,Not Applicable"</formula1>
    </dataValidation>
    <dataValidation type="list" allowBlank="1" showInputMessage="1" showErrorMessage="1" sqref="C15" xr:uid="{00000000-0002-0000-0200-000009000000}">
      <formula1>"Reliability,Public Policy,Economic"</formula1>
    </dataValidation>
    <dataValidation type="list" showInputMessage="1" showErrorMessage="1" sqref="C22" xr:uid="{00000000-0002-0000-0200-000002000000}">
      <formula1>"Select,Conceptual,Planned,Under Construction,In-Service,Withdrawn"</formula1>
    </dataValidation>
    <dataValidation type="list" allowBlank="1" showInputMessage="1" showErrorMessage="1" sqref="C13 C60:C61 C52 C50 C42" xr:uid="{266103F9-0AD0-4561-A14C-88A962477F8F}">
      <formula1>"N/A,Yes,No"</formula1>
    </dataValidation>
    <dataValidation type="list" showInputMessage="1" showErrorMessage="1" sqref="C18" xr:uid="{699B3E3F-5907-4E4A-BD35-9E3E7F5B10A9}">
      <formula1>"Conceptual,Planned,Under Construction,In-Service,Withdrawn"</formula1>
    </dataValidation>
    <dataValidation type="list" showInputMessage="1" showErrorMessage="1" sqref="C26" xr:uid="{93CD1FCE-5AE2-41D4-A45B-DBBFC34AE366}">
      <formula1>"Arizona,California,Colorado,Nebraska,Nevada,New Mexico,South Dakota,Texas,Wyoming,Multiple"</formula1>
    </dataValidation>
  </dataValidations>
  <pageMargins left="0.7" right="0.7" top="0.75" bottom="0.75" header="0.3" footer="0.3"/>
  <pageSetup orientation="portrait" r:id="rId1"/>
  <headerFooter>
    <oddFooter>&amp;CPage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93" r:id="rId4" name="Button 69">
              <controlPr defaultSize="0" print="0" autoFill="0" autoPict="0" macro="[0]!NewProjectInputForm">
                <anchor>
                  <from>
                    <xdr:col>3</xdr:col>
                    <xdr:colOff>447675</xdr:colOff>
                    <xdr:row>2</xdr:row>
                    <xdr:rowOff>114300</xdr:rowOff>
                  </from>
                  <to>
                    <xdr:col>4</xdr:col>
                    <xdr:colOff>923925</xdr:colOff>
                    <xdr:row>4</xdr:row>
                    <xdr:rowOff>114300</xdr:rowOff>
                  </to>
                </anchor>
              </controlPr>
            </control>
          </mc:Choice>
        </mc:AlternateContent>
        <mc:AlternateContent xmlns:mc="http://schemas.openxmlformats.org/markup-compatibility/2006">
          <mc:Choice Requires="x14">
            <control shapeId="1094" r:id="rId5" name="Button 70">
              <controlPr defaultSize="0" print="0" autoFill="0" autoPict="0" macro="[0]!SaveInputFormForChanges">
                <anchor>
                  <from>
                    <xdr:col>3</xdr:col>
                    <xdr:colOff>447675</xdr:colOff>
                    <xdr:row>5</xdr:row>
                    <xdr:rowOff>95250</xdr:rowOff>
                  </from>
                  <to>
                    <xdr:col>4</xdr:col>
                    <xdr:colOff>923925</xdr:colOff>
                    <xdr:row>7</xdr:row>
                    <xdr:rowOff>104775</xdr:rowOff>
                  </to>
                </anchor>
              </controlPr>
            </control>
          </mc:Choice>
        </mc:AlternateContent>
        <mc:AlternateContent xmlns:mc="http://schemas.openxmlformats.org/markup-compatibility/2006">
          <mc:Choice Requires="x14">
            <control shapeId="1095" r:id="rId6" name="Button 71">
              <controlPr defaultSize="0" print="0" autoFill="0" autoPict="0" macro="[0]!CancelEdit_Stub">
                <anchor>
                  <from>
                    <xdr:col>3</xdr:col>
                    <xdr:colOff>447675</xdr:colOff>
                    <xdr:row>8</xdr:row>
                    <xdr:rowOff>85725</xdr:rowOff>
                  </from>
                  <to>
                    <xdr:col>4</xdr:col>
                    <xdr:colOff>923925</xdr:colOff>
                    <xdr:row>10</xdr:row>
                    <xdr:rowOff>95250</xdr:rowOff>
                  </to>
                </anchor>
              </controlPr>
            </control>
          </mc:Choice>
        </mc:AlternateContent>
        <mc:AlternateContent xmlns:mc="http://schemas.openxmlformats.org/markup-compatibility/2006">
          <mc:Choice Requires="x14">
            <control shapeId="1096" r:id="rId7" name="Button 72">
              <controlPr defaultSize="0" print="0" autoFill="0" autoPict="0" macro="[0]!PrintProjectEntry">
                <anchor>
                  <from>
                    <xdr:col>3</xdr:col>
                    <xdr:colOff>447675</xdr:colOff>
                    <xdr:row>11</xdr:row>
                    <xdr:rowOff>47625</xdr:rowOff>
                  </from>
                  <to>
                    <xdr:col>4</xdr:col>
                    <xdr:colOff>923925</xdr:colOff>
                    <xdr:row>12</xdr:row>
                    <xdr:rowOff>200025</xdr:rowOff>
                  </to>
                </anchor>
              </controlPr>
            </control>
          </mc:Choice>
        </mc:AlternateContent>
        <mc:AlternateContent xmlns:mc="http://schemas.openxmlformats.org/markup-compatibility/2006">
          <mc:Choice Requires="x14">
            <control shapeId="1097" r:id="rId8" name="Button 73">
              <controlPr defaultSize="0" print="0" autoFill="0" autoPict="0" macro="[0]!Mail_Projects">
                <anchor>
                  <from>
                    <xdr:col>3</xdr:col>
                    <xdr:colOff>447675</xdr:colOff>
                    <xdr:row>12</xdr:row>
                    <xdr:rowOff>390525</xdr:rowOff>
                  </from>
                  <to>
                    <xdr:col>4</xdr:col>
                    <xdr:colOff>923925</xdr:colOff>
                    <xdr:row>13</xdr:row>
                    <xdr:rowOff>123825</xdr:rowOff>
                  </to>
                </anchor>
              </controlPr>
            </control>
          </mc:Choice>
        </mc:AlternateContent>
        <mc:AlternateContent xmlns:mc="http://schemas.openxmlformats.org/markup-compatibility/2006">
          <mc:Choice Requires="x14">
            <control shapeId="1098" r:id="rId9" name="Button 74">
              <controlPr defaultSize="0" print="0" autoFill="0" autoPict="0" macro="[0]!NextProject">
                <anchor>
                  <from>
                    <xdr:col>4</xdr:col>
                    <xdr:colOff>1076325</xdr:colOff>
                    <xdr:row>2</xdr:row>
                    <xdr:rowOff>114300</xdr:rowOff>
                  </from>
                  <to>
                    <xdr:col>4</xdr:col>
                    <xdr:colOff>2057400</xdr:colOff>
                    <xdr:row>4</xdr:row>
                    <xdr:rowOff>114300</xdr:rowOff>
                  </to>
                </anchor>
              </controlPr>
            </control>
          </mc:Choice>
        </mc:AlternateContent>
        <mc:AlternateContent xmlns:mc="http://schemas.openxmlformats.org/markup-compatibility/2006">
          <mc:Choice Requires="x14">
            <control shapeId="1099" r:id="rId10" name="Button 75">
              <controlPr defaultSize="0" print="0" autoFill="0" autoPict="0" macro="[0]!PreviousProject">
                <anchor>
                  <from>
                    <xdr:col>4</xdr:col>
                    <xdr:colOff>1076325</xdr:colOff>
                    <xdr:row>5</xdr:row>
                    <xdr:rowOff>95250</xdr:rowOff>
                  </from>
                  <to>
                    <xdr:col>4</xdr:col>
                    <xdr:colOff>2057400</xdr:colOff>
                    <xdr:row>7</xdr:row>
                    <xdr:rowOff>104775</xdr:rowOff>
                  </to>
                </anchor>
              </controlPr>
            </control>
          </mc:Choice>
        </mc:AlternateContent>
        <mc:AlternateContent xmlns:mc="http://schemas.openxmlformats.org/markup-compatibility/2006">
          <mc:Choice Requires="x14">
            <control shapeId="1100" r:id="rId11" name="Button 76">
              <controlPr defaultSize="0" print="0" autoFill="0" autoPict="0" macro="[0]!Stub_CheckInputFormForChanges">
                <anchor>
                  <from>
                    <xdr:col>4</xdr:col>
                    <xdr:colOff>1076325</xdr:colOff>
                    <xdr:row>8</xdr:row>
                    <xdr:rowOff>85725</xdr:rowOff>
                  </from>
                  <to>
                    <xdr:col>4</xdr:col>
                    <xdr:colOff>2057400</xdr:colOff>
                    <xdr:row>12</xdr:row>
                    <xdr:rowOff>219075</xdr:rowOff>
                  </to>
                </anchor>
              </controlPr>
            </control>
          </mc:Choice>
        </mc:AlternateContent>
        <mc:AlternateContent xmlns:mc="http://schemas.openxmlformats.org/markup-compatibility/2006">
          <mc:Choice Requires="x14">
            <control shapeId="1101" r:id="rId12" name="Button 77">
              <controlPr defaultSize="0" print="0" autoFill="0" autoPict="0" macro="[0]!SpellCheck">
                <anchor>
                  <from>
                    <xdr:col>4</xdr:col>
                    <xdr:colOff>1076325</xdr:colOff>
                    <xdr:row>12</xdr:row>
                    <xdr:rowOff>390525</xdr:rowOff>
                  </from>
                  <to>
                    <xdr:col>4</xdr:col>
                    <xdr:colOff>2057400</xdr:colOff>
                    <xdr:row>13</xdr:row>
                    <xdr:rowOff>123825</xdr:rowOff>
                  </to>
                </anchor>
              </controlPr>
            </control>
          </mc:Choice>
        </mc:AlternateContent>
        <mc:AlternateContent xmlns:mc="http://schemas.openxmlformats.org/markup-compatibility/2006">
          <mc:Choice Requires="x14">
            <control shapeId="1102" r:id="rId13" name="Button 78">
              <controlPr defaultSize="0" print="0" autoFill="0" autoPict="0" macro="[0]!PrintRange">
                <anchor>
                  <from>
                    <xdr:col>3</xdr:col>
                    <xdr:colOff>447675</xdr:colOff>
                    <xdr:row>13</xdr:row>
                    <xdr:rowOff>266700</xdr:rowOff>
                  </from>
                  <to>
                    <xdr:col>4</xdr:col>
                    <xdr:colOff>2066925</xdr:colOff>
                    <xdr:row>14</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pageSetUpPr fitToPage="1"/>
  </sheetPr>
  <dimension ref="B1:D48"/>
  <sheetViews>
    <sheetView showGridLines="0" topLeftCell="A129" zoomScaleNormal="100" workbookViewId="0">
      <selection activeCell="B1" sqref="B1:D1048576"/>
    </sheetView>
  </sheetViews>
  <sheetFormatPr defaultRowHeight="15" x14ac:dyDescent="0.25"/>
  <cols>
    <col min="1" max="1" width="3.42578125" customWidth="1"/>
    <col min="2" max="2" width="7.7109375" customWidth="1"/>
    <col min="3" max="3" width="26.7109375" customWidth="1"/>
    <col min="4" max="4" width="56.42578125" customWidth="1"/>
  </cols>
  <sheetData>
    <row r="1" spans="2:4" ht="17.25" x14ac:dyDescent="0.25">
      <c r="B1" s="129" t="e">
        <f ca="1">DGET('All Projects'!A:AR,"Sponsor",'Report Page'!$B$47:$B$48)</f>
        <v>#VALUE!</v>
      </c>
      <c r="C1" s="129"/>
      <c r="D1" s="129"/>
    </row>
    <row r="2" spans="2:4" ht="19.5" x14ac:dyDescent="0.3">
      <c r="B2" s="127" t="e">
        <f ca="1">DGET('All Projects'!$A:$AR,"ProjectName",'Report Page'!$B$47:$B$48)</f>
        <v>#VALUE!</v>
      </c>
      <c r="C2" s="128"/>
      <c r="D2" s="128"/>
    </row>
    <row r="3" spans="2:4" x14ac:dyDescent="0.25">
      <c r="B3" s="31"/>
      <c r="C3" s="31"/>
      <c r="D3" s="31"/>
    </row>
    <row r="4" spans="2:4" x14ac:dyDescent="0.25">
      <c r="B4" s="3" t="s">
        <v>121</v>
      </c>
      <c r="C4" s="4"/>
      <c r="D4" s="6" t="e">
        <f ca="1">B1</f>
        <v>#VALUE!</v>
      </c>
    </row>
    <row r="5" spans="2:4" x14ac:dyDescent="0.25">
      <c r="B5" s="3" t="s">
        <v>92</v>
      </c>
      <c r="C5" s="4"/>
      <c r="D5" s="5" t="str">
        <f ca="1">IF(ISERROR(DGET('All Projects'!$A:$AR,"Description",'Report Page'!$B$47:$B$48)),"",DGET('All Projects'!$A:$AR,"Description",'Report Page'!$B$47:$B$48))</f>
        <v/>
      </c>
    </row>
    <row r="6" spans="2:4" s="34" customFormat="1" ht="8.25" x14ac:dyDescent="0.15">
      <c r="B6" s="126"/>
      <c r="C6" s="126"/>
      <c r="D6" s="126"/>
    </row>
    <row r="7" spans="2:4" x14ac:dyDescent="0.25">
      <c r="B7" s="4"/>
      <c r="C7" s="4" t="s">
        <v>93</v>
      </c>
      <c r="D7" s="5" t="str">
        <f ca="1">IF(ISERROR(DGET('All Projects'!$A:$AR,"Voltage",'Report Page'!$B$47:$B$48)),"",DGET('All Projects'!$A:$AR,"Voltage",'Report Page'!$B$47:$B$48))</f>
        <v/>
      </c>
    </row>
    <row r="8" spans="2:4" x14ac:dyDescent="0.25">
      <c r="B8" s="4"/>
      <c r="C8" s="4" t="s">
        <v>88</v>
      </c>
      <c r="D8" s="5" t="str">
        <f ca="1">IF(ISERROR(DGET('All Projects'!$A:$AR,"Origin",'Report Page'!$B$47:$B$48)),"",DGET('All Projects'!$A:$AR,"Origin",'Report Page'!$B$47:$B$48))</f>
        <v/>
      </c>
    </row>
    <row r="9" spans="2:4" x14ac:dyDescent="0.25">
      <c r="B9" s="4"/>
      <c r="C9" s="4" t="s">
        <v>94</v>
      </c>
      <c r="D9" s="5" t="str">
        <f ca="1">IF(ISERROR(DGET('All Projects'!$A:$AR,"Termination",'Report Page'!$B$47:$B$48)),"",DGET('All Projects'!$A:$AR,"Termination",'Report Page'!$B$47:$B$48))</f>
        <v/>
      </c>
    </row>
    <row r="10" spans="2:4" x14ac:dyDescent="0.25">
      <c r="B10" s="4"/>
      <c r="C10" s="4" t="s">
        <v>95</v>
      </c>
      <c r="D10" s="5" t="str">
        <f ca="1">IF(ISERROR(DGET('All Projects'!$A:$AR,"FacilityType",'Report Page'!$B$47:$B$48)),"",DGET('All Projects'!$A:$AR,"FacilityType",'Report Page'!$B$47:$B$48))</f>
        <v/>
      </c>
    </row>
    <row r="11" spans="2:4" x14ac:dyDescent="0.25">
      <c r="B11" s="4"/>
      <c r="C11" s="4" t="s">
        <v>96</v>
      </c>
      <c r="D11" s="5" t="str">
        <f ca="1">IF(ISERROR(DGET('All Projects'!$A:$AR,"Development",'Report Page'!$B$47:$B$48)),"",DGET('All Projects'!$A:$AR,"Development",'Report Page'!$B$47:$B$48))</f>
        <v/>
      </c>
    </row>
    <row r="12" spans="2:4" x14ac:dyDescent="0.25">
      <c r="B12" s="4"/>
      <c r="C12" s="4" t="s">
        <v>97</v>
      </c>
      <c r="D12" s="6" t="str">
        <f ca="1">IF(ISERROR(DGET('All Projects'!$A:$AR,"SubRegionalID_Name",'Report Page'!$B$47:$B$48)),"",DGET('All Projects'!$A:$AR,"SubRegionalID_Name",'Report Page'!$B$47:$B$48))</f>
        <v/>
      </c>
    </row>
    <row r="13" spans="2:4" s="34" customFormat="1" ht="8.25" x14ac:dyDescent="0.15">
      <c r="B13" s="32"/>
      <c r="C13" s="32"/>
      <c r="D13" s="33"/>
    </row>
    <row r="14" spans="2:4" x14ac:dyDescent="0.25">
      <c r="B14" s="3" t="s">
        <v>98</v>
      </c>
      <c r="C14" s="4"/>
      <c r="D14" s="5" t="str">
        <f ca="1">IF(ISERROR(DGET('All Projects'!$A:$AR,"Purpose",'Report Page'!$B$47:$B$48)),"",DGET('All Projects'!$A:$AR,"Purpose",'Report Page'!$B$47:$B$48))</f>
        <v/>
      </c>
    </row>
    <row r="15" spans="2:4" s="34" customFormat="1" ht="8.25" x14ac:dyDescent="0.15">
      <c r="B15" s="32"/>
      <c r="C15" s="32"/>
      <c r="D15" s="33"/>
    </row>
    <row r="16" spans="2:4" x14ac:dyDescent="0.25">
      <c r="B16" s="4"/>
      <c r="C16" s="4" t="s">
        <v>508</v>
      </c>
      <c r="D16" s="5" t="str">
        <f ca="1">IF(ISERROR(DGET('All Projects'!$A:$AR,"Drivers",'Report Page'!$B$47:$B$48)),"",DGET('All Projects'!$A:$AR,"Drivers",'Report Page'!$B$47:$B$48))</f>
        <v/>
      </c>
    </row>
    <row r="17" spans="2:4" s="34" customFormat="1" ht="8.25" x14ac:dyDescent="0.15">
      <c r="B17" s="32"/>
      <c r="C17" s="32"/>
      <c r="D17" s="33"/>
    </row>
    <row r="18" spans="2:4" x14ac:dyDescent="0.25">
      <c r="B18" s="3" t="s">
        <v>99</v>
      </c>
      <c r="C18" s="4"/>
      <c r="D18" s="5"/>
    </row>
    <row r="19" spans="2:4" x14ac:dyDescent="0.25">
      <c r="B19" s="4"/>
      <c r="C19" s="4" t="s">
        <v>100</v>
      </c>
      <c r="D19" s="5" t="str">
        <f ca="1">IF(ISERROR(DGET('All Projects'!$A:$AR,"Inservice",'Report Page'!$B$47:$B$48)),"",DGET('All Projects'!$A:$AR,"Inservice",'Report Page'!$B$47:$B$48))</f>
        <v/>
      </c>
    </row>
    <row r="20" spans="2:4" s="34" customFormat="1" ht="8.25" x14ac:dyDescent="0.15">
      <c r="B20" s="32"/>
      <c r="C20" s="32"/>
      <c r="D20" s="33"/>
    </row>
    <row r="21" spans="2:4" x14ac:dyDescent="0.25">
      <c r="B21" s="3" t="s">
        <v>102</v>
      </c>
      <c r="C21" s="4"/>
      <c r="D21" s="5" t="str">
        <f>IF(ISERROR(DGET('All Projects'!$A:$AR,"ContactName",'Report Page'!$B$47:$B$48)),"",DGET('All Projects'!$A:$AR,"ContactName",'Report Page'!$B$47:$B$48))</f>
        <v/>
      </c>
    </row>
    <row r="22" spans="2:4" x14ac:dyDescent="0.25">
      <c r="B22" s="4"/>
      <c r="C22" s="4" t="s">
        <v>11</v>
      </c>
      <c r="D22" s="5" t="str">
        <f>IF(ISERROR(DGET('All Projects'!$A:$AR,"Email",'Report Page'!$B$47:$B$48)),"",DGET('All Projects'!$A:$AR,"Email",'Report Page'!$B$47:$B$48))</f>
        <v/>
      </c>
    </row>
    <row r="23" spans="2:4" x14ac:dyDescent="0.25">
      <c r="B23" s="4"/>
      <c r="C23" s="4" t="s">
        <v>10</v>
      </c>
      <c r="D23" s="5" t="str">
        <f>IF(ISERROR(DGET('All Projects'!$A:$AR,"Phone",'Report Page'!$B$47:$B$48)),"",DGET('All Projects'!$A:$AR,"Phone",'Report Page'!$B$47:$B$48))</f>
        <v/>
      </c>
    </row>
    <row r="24" spans="2:4" s="34" customFormat="1" ht="8.25" x14ac:dyDescent="0.15"/>
    <row r="25" spans="2:4" x14ac:dyDescent="0.25">
      <c r="B25" s="2" t="s">
        <v>101</v>
      </c>
      <c r="C25" s="1"/>
      <c r="D25" s="7" t="str">
        <f ca="1">IF(ISERROR(DGET('All Projects'!$A:$AR,"wcprojectid",'Report Page'!$B$47:$B$48)),"",DGET('All Projects'!$A:$AR,"wcprojectid",'Report Page'!$B$47:$B$48))</f>
        <v/>
      </c>
    </row>
    <row r="47" spans="2:3" x14ac:dyDescent="0.25">
      <c r="B47" t="s">
        <v>12</v>
      </c>
      <c r="C47" s="10">
        <v>1</v>
      </c>
    </row>
    <row r="48" spans="2:3" x14ac:dyDescent="0.25">
      <c r="B48" t="str">
        <f ca="1">OFFSET(projectid,ReportRow-1,0,1,1)</f>
        <v>projectid</v>
      </c>
    </row>
  </sheetData>
  <sheetProtection algorithmName="SHA-512" hashValue="nzzF2EZbVJr+4EP7wxVMMjn1OTFnxN7G7zKSd8viys3qrLhc7myVWwalA5UjBCo4AjYRyE+IXTtpvmFxWTb7HA==" saltValue="3XZz6FjbeK+R8urJRBUocA==" spinCount="100000" sheet="1" objects="1" scenarios="1"/>
  <mergeCells count="3">
    <mergeCell ref="B6:D6"/>
    <mergeCell ref="B2:D2"/>
    <mergeCell ref="B1:D1"/>
  </mergeCells>
  <phoneticPr fontId="6" type="noConversion"/>
  <printOptions horizontalCentered="1"/>
  <pageMargins left="0.5" right="0.5" top="0.5" bottom="0.5" header="0.3" footer="0.3"/>
  <pageSetup orientation="portrait" r:id="rId1"/>
  <ignoredErrors>
    <ignoredError sqref="B2 D4" evalError="1"/>
  </ignoredErrors>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PrintReportPage">
                <anchor>
                  <from>
                    <xdr:col>5</xdr:col>
                    <xdr:colOff>171450</xdr:colOff>
                    <xdr:row>1</xdr:row>
                    <xdr:rowOff>152400</xdr:rowOff>
                  </from>
                  <to>
                    <xdr:col>6</xdr:col>
                    <xdr:colOff>600075</xdr:colOff>
                    <xdr:row>3</xdr:row>
                    <xdr:rowOff>0</xdr:rowOff>
                  </to>
                </anchor>
              </controlPr>
            </control>
          </mc:Choice>
        </mc:AlternateContent>
        <mc:AlternateContent xmlns:mc="http://schemas.openxmlformats.org/markup-compatibility/2006">
          <mc:Choice Requires="x14">
            <control shapeId="6146" r:id="rId5" name="Button 2">
              <controlPr defaultSize="0" print="0" autoFill="0" autoPict="0" macro="[0]!PrintReportPageAll">
                <anchor>
                  <from>
                    <xdr:col>5</xdr:col>
                    <xdr:colOff>171450</xdr:colOff>
                    <xdr:row>3</xdr:row>
                    <xdr:rowOff>76200</xdr:rowOff>
                  </from>
                  <to>
                    <xdr:col>6</xdr:col>
                    <xdr:colOff>600075</xdr:colOff>
                    <xdr:row>9</xdr:row>
                    <xdr:rowOff>66675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1:C1"/>
  <sheetViews>
    <sheetView workbookViewId="0">
      <selection sqref="A1:XFD1048576"/>
    </sheetView>
  </sheetViews>
  <sheetFormatPr defaultRowHeight="15" x14ac:dyDescent="0.25"/>
  <cols>
    <col min="1" max="3" width="9.140625" style="25"/>
  </cols>
  <sheetData/>
  <pageMargins left="0.7" right="0.7" top="0.75" bottom="0.75" header="0.3" footer="0.3"/>
  <pageSetup scale="90" fitToHeight="10000"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125</vt:i4>
      </vt:variant>
    </vt:vector>
  </HeadingPairs>
  <TitlesOfParts>
    <vt:vector size="130" baseType="lpstr">
      <vt:lpstr>Control</vt:lpstr>
      <vt:lpstr>All Projects</vt:lpstr>
      <vt:lpstr>Project Entry</vt:lpstr>
      <vt:lpstr>Report Page</vt:lpstr>
      <vt:lpstr>PDF Reporting</vt:lpstr>
      <vt:lpstr>All_Req_Infrastructure_Identifyied</vt:lpstr>
      <vt:lpstr>All_Req_Infrastructure_Identifyied_FRM</vt:lpstr>
      <vt:lpstr>Assoc_Gen_Cap</vt:lpstr>
      <vt:lpstr>Assoc_Gen_Cap_FRM</vt:lpstr>
      <vt:lpstr>Assoc_Gen_IA_YorN</vt:lpstr>
      <vt:lpstr>Assoc_Gen_IA_YorN_FRM</vt:lpstr>
      <vt:lpstr>Assoc_Gen_POI</vt:lpstr>
      <vt:lpstr>Assoc_Gen_POI_FRM</vt:lpstr>
      <vt:lpstr>Assoc_Gen_Sink</vt:lpstr>
      <vt:lpstr>Assoc_Gen_Sink_FRM</vt:lpstr>
      <vt:lpstr>Assoc_Gen_Tech</vt:lpstr>
      <vt:lpstr>Assoc_Gen_Tech_FRM</vt:lpstr>
      <vt:lpstr>Assoc_Gen_TSA_YorN</vt:lpstr>
      <vt:lpstr>Assoc_Gen_TSA_YorN_FRM</vt:lpstr>
      <vt:lpstr>Associated_Gen_YorN</vt:lpstr>
      <vt:lpstr>Associated_Gen_YorN_FRM</vt:lpstr>
      <vt:lpstr>ChangeTime</vt:lpstr>
      <vt:lpstr>ChangeTime_FRM</vt:lpstr>
      <vt:lpstr>Construction_Commitments</vt:lpstr>
      <vt:lpstr>Construction_Commitments_FRM</vt:lpstr>
      <vt:lpstr>Contact_City_FRM</vt:lpstr>
      <vt:lpstr>Contact_Country_FRM</vt:lpstr>
      <vt:lpstr>Contact_State_Province_FRM</vt:lpstr>
      <vt:lpstr>Contact_Street_Address_FRM</vt:lpstr>
      <vt:lpstr>Contact_Zip_FRM</vt:lpstr>
      <vt:lpstr>Contact2_City_FRM</vt:lpstr>
      <vt:lpstr>Contact2_Country_FRM</vt:lpstr>
      <vt:lpstr>Contact2_Email_FRM</vt:lpstr>
      <vt:lpstr>Contact2_Name_FRM</vt:lpstr>
      <vt:lpstr>Contact2_Phone_FRM</vt:lpstr>
      <vt:lpstr>Contact2_State_Province_FRM</vt:lpstr>
      <vt:lpstr>Contact2_Street_FRM</vt:lpstr>
      <vt:lpstr>Contact2_Zip_FRM</vt:lpstr>
      <vt:lpstr>ContactName_FRM</vt:lpstr>
      <vt:lpstr>Cost_FRM</vt:lpstr>
      <vt:lpstr>DateProjectEntered</vt:lpstr>
      <vt:lpstr>DateProjectEntered_FRM</vt:lpstr>
      <vt:lpstr>Description</vt:lpstr>
      <vt:lpstr>Description_FRM</vt:lpstr>
      <vt:lpstr>Development</vt:lpstr>
      <vt:lpstr>Development_FRM</vt:lpstr>
      <vt:lpstr>Drivers</vt:lpstr>
      <vt:lpstr>Drivers_FRM</vt:lpstr>
      <vt:lpstr>Email_FRM</vt:lpstr>
      <vt:lpstr>EmailAddress</vt:lpstr>
      <vt:lpstr>FacilityType</vt:lpstr>
      <vt:lpstr>FacilityType_FRM</vt:lpstr>
      <vt:lpstr>Federal_Permit_Required_YorN</vt:lpstr>
      <vt:lpstr>Federal_Permit_Required_YorN_FRM</vt:lpstr>
      <vt:lpstr>Federal_Permit_ROD_YorN</vt:lpstr>
      <vt:lpstr>Federal_Permit_ROD_YorN_FRM</vt:lpstr>
      <vt:lpstr>Financial_Arrangments</vt:lpstr>
      <vt:lpstr>Financial_Arrangments_FRM</vt:lpstr>
      <vt:lpstr>Financing_Commitment</vt:lpstr>
      <vt:lpstr>Financing_Commitment_FRM</vt:lpstr>
      <vt:lpstr>Further_Details</vt:lpstr>
      <vt:lpstr>Further_Details_FRM</vt:lpstr>
      <vt:lpstr>Have_Project_Transmission_Service_Agreements</vt:lpstr>
      <vt:lpstr>Have_Project_Transmission_Service_Agreements_FRM</vt:lpstr>
      <vt:lpstr>InService</vt:lpstr>
      <vt:lpstr>InService_FRM</vt:lpstr>
      <vt:lpstr>LastSaved</vt:lpstr>
      <vt:lpstr>Length</vt:lpstr>
      <vt:lpstr>Length_FRM</vt:lpstr>
      <vt:lpstr>Login</vt:lpstr>
      <vt:lpstr>modifieddate</vt:lpstr>
      <vt:lpstr>modifieddate_FRM</vt:lpstr>
      <vt:lpstr>NeededForPublicPolicy_YorN</vt:lpstr>
      <vt:lpstr>NeededForPublicPolicy_YorN_FRM</vt:lpstr>
      <vt:lpstr>NewProject_FRM</vt:lpstr>
      <vt:lpstr>Origin</vt:lpstr>
      <vt:lpstr>Origin_FRM</vt:lpstr>
      <vt:lpstr>Phone_FRM</vt:lpstr>
      <vt:lpstr>POST_DATE</vt:lpstr>
      <vt:lpstr>POST_DATE_FRM</vt:lpstr>
      <vt:lpstr>'Project Entry'!Print_Area</vt:lpstr>
      <vt:lpstr>'Report Page'!Print_Area</vt:lpstr>
      <vt:lpstr>Print_Parameters</vt:lpstr>
      <vt:lpstr>'Project Entry'!Print_Titles</vt:lpstr>
      <vt:lpstr>Project_Inservice_for_Local_Planning_Process</vt:lpstr>
      <vt:lpstr>Project_Inservice_for_Local_Planning_Process_FRM</vt:lpstr>
      <vt:lpstr>Project_Map_URL</vt:lpstr>
      <vt:lpstr>Project_Map_URL_FRM</vt:lpstr>
      <vt:lpstr>projectid</vt:lpstr>
      <vt:lpstr>projectid_FRM</vt:lpstr>
      <vt:lpstr>ProjectName</vt:lpstr>
      <vt:lpstr>ProjectName_FRM</vt:lpstr>
      <vt:lpstr>PublicPoliciesInvolved</vt:lpstr>
      <vt:lpstr>PublicPoliciesInvolved_FRM</vt:lpstr>
      <vt:lpstr>Purpose</vt:lpstr>
      <vt:lpstr>Purpose_FRM</vt:lpstr>
      <vt:lpstr>Rating_FRM</vt:lpstr>
      <vt:lpstr>ReportRow</vt:lpstr>
      <vt:lpstr>SaveOrSaveAndEmail</vt:lpstr>
      <vt:lpstr>SelectedProjectRow_FRM</vt:lpstr>
      <vt:lpstr>SelectedSponsor</vt:lpstr>
      <vt:lpstr>SortLevel1</vt:lpstr>
      <vt:lpstr>SortLevel2</vt:lpstr>
      <vt:lpstr>SortLevel3</vt:lpstr>
      <vt:lpstr>Sponsor</vt:lpstr>
      <vt:lpstr>sponsor_FRM</vt:lpstr>
      <vt:lpstr>SponsorAbr</vt:lpstr>
      <vt:lpstr>State_Permit_Obtained_YorN</vt:lpstr>
      <vt:lpstr>State_Permit_Obtained_YorN_FRM</vt:lpstr>
      <vt:lpstr>State_Permit_Required_YorN</vt:lpstr>
      <vt:lpstr>State_Permit_Required_YorN_FRM</vt:lpstr>
      <vt:lpstr>StateTraversed</vt:lpstr>
      <vt:lpstr>StateTraversed_FRM</vt:lpstr>
      <vt:lpstr>Submittal_Email</vt:lpstr>
      <vt:lpstr>SubRegionalID_Name</vt:lpstr>
      <vt:lpstr>SubRegionalID_Name_FRM</vt:lpstr>
      <vt:lpstr>System_Impact_Study_YorN</vt:lpstr>
      <vt:lpstr>System_Impact_Study_YorN_FRM</vt:lpstr>
      <vt:lpstr>Termination</vt:lpstr>
      <vt:lpstr>Termination_FRM</vt:lpstr>
      <vt:lpstr>TimeLastSent</vt:lpstr>
      <vt:lpstr>Timestamp</vt:lpstr>
      <vt:lpstr>Transmission_Service_Agreement_Date</vt:lpstr>
      <vt:lpstr>Transmission_Service_Agreement_Date_FRM</vt:lpstr>
      <vt:lpstr>Voltage</vt:lpstr>
      <vt:lpstr>Voltage_FRM</vt:lpstr>
      <vt:lpstr>wcprojectID</vt:lpstr>
      <vt:lpstr>wcprojectID_FRM</vt:lpstr>
      <vt:lpstr>WestConnect_TO_YorN</vt:lpstr>
      <vt:lpstr>WestConnect_TO_YorN_FRM</vt:lpstr>
    </vt:vector>
  </TitlesOfParts>
  <Company>Microsoft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Tom Kansier</dc:creator>
  <cp:lastModifiedBy>Enrique Valdez</cp:lastModifiedBy>
  <cp:lastPrinted>2023-11-27T18:08:54Z</cp:lastPrinted>
  <dcterms:created xsi:type="dcterms:W3CDTF">2011-06-07T20:11:53Z</dcterms:created>
  <dcterms:modified xsi:type="dcterms:W3CDTF">2026-05-08T20:18:53Z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44787D4-0540-4523-9961-78E4036D8C6D}">
    <vt:lpwstr>{B648A92D-5CD6-4137-85D5-51FB9B3795CF}</vt:lpwstr>
  </property>
</Properties>
</file>